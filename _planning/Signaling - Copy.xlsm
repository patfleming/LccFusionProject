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fl\Documents\GitHub\LccFusionProject\_planning\"/>
    </mc:Choice>
  </mc:AlternateContent>
  <xr:revisionPtr revIDLastSave="0" documentId="13_ncr:1_{680CD868-8C39-457B-8EE2-BFB339B9520E}" xr6:coauthVersionLast="47" xr6:coauthVersionMax="47" xr10:uidLastSave="{00000000-0000-0000-0000-000000000000}"/>
  <bookViews>
    <workbookView xWindow="-120" yWindow="-120" windowWidth="29040" windowHeight="15720" xr2:uid="{B3F6AEAD-C5F1-4BC6-BE39-89B28D53403F}"/>
  </bookViews>
  <sheets>
    <sheet name="Signal Example 1" sheetId="2" r:id="rId1"/>
    <sheet name="SelectionLists" sheetId="1" r:id="rId2"/>
  </sheets>
  <definedNames>
    <definedName name="ActionTriggers_List">ActionTriggers_Table[Action Triggers]</definedName>
    <definedName name="AspectIndicators_List">SelectionLists!$G$2:$G$9</definedName>
    <definedName name="CardAddress_List">SelectionLists!$C$32:$C$39</definedName>
    <definedName name="CardBus_List">CardBus_Table[Card Bus]</definedName>
    <definedName name="Cards_List">Cards_Table[Cards]</definedName>
    <definedName name="CardTypes_List">CardTypes_Table[Card Types]</definedName>
    <definedName name="ConditionSources_List">ConditionSources_Table[Condition Sources]</definedName>
    <definedName name="ConditionTriggers_List">ConditionTriggers_Table[Condition Triggers]</definedName>
    <definedName name="Devices_List">Devices_Table[Devices]</definedName>
    <definedName name="GroupFunctions_List">GroupFunctions_Table[Group Functions]</definedName>
    <definedName name="GroupProcessing_List">GroupProcessing_Table[Group Processing Actions]</definedName>
    <definedName name="LampSelection_List">SelectionLists!$I$2:$I$18</definedName>
    <definedName name="LogicOperation">'Signal Example 1'!#REF!</definedName>
    <definedName name="LogicOperations_List">LogicOperations_Table[Logic Operations]</definedName>
    <definedName name="RulesName_List">RuleNames_Table[Rule Names]</definedName>
    <definedName name="SetAspectEventId_List">SetAspectEventId_Table[EventID]</definedName>
    <definedName name="TrackSpeeds_List">SelectionLists!$A$2:$A$9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5" i="2" l="1"/>
  <c r="H103" i="2"/>
  <c r="B103" i="2" a="1"/>
  <c r="B103" i="2" s="1"/>
  <c r="H101" i="2" s="1"/>
  <c r="B102" i="2" a="1"/>
  <c r="B102" i="2" s="1"/>
  <c r="H102" i="2" s="1"/>
  <c r="H98" i="2"/>
  <c r="H77" i="2"/>
  <c r="H75" i="2"/>
  <c r="B75" i="2" a="1"/>
  <c r="B75" i="2" s="1"/>
  <c r="H73" i="2" s="1"/>
  <c r="B74" i="2" a="1"/>
  <c r="B74" i="2" s="1"/>
  <c r="H74" i="2" s="1"/>
  <c r="H70" i="2"/>
  <c r="H49" i="2"/>
  <c r="H47" i="2"/>
  <c r="B47" i="2" a="1"/>
  <c r="B47" i="2" s="1"/>
  <c r="H45" i="2" s="1"/>
  <c r="B46" i="2" a="1"/>
  <c r="B46" i="2" s="1"/>
  <c r="H46" i="2" s="1"/>
  <c r="H42" i="2"/>
  <c r="H21" i="2"/>
  <c r="H19" i="2"/>
  <c r="H14" i="2"/>
  <c r="B19" i="2" a="1"/>
  <c r="B19" i="2" s="1"/>
  <c r="H17" i="2" s="1"/>
  <c r="B18" i="2" a="1"/>
  <c r="B18" i="2" s="1"/>
  <c r="H18" i="2" s="1"/>
  <c r="L10" i="2"/>
  <c r="L9" i="2"/>
  <c r="L7" i="2"/>
  <c r="L6" i="2"/>
  <c r="K32" i="2"/>
  <c r="K22" i="2"/>
  <c r="E102" i="2" a="1"/>
  <c r="E103" i="2" a="1"/>
  <c r="E75" i="2" a="1"/>
  <c r="E74" i="2" a="1"/>
  <c r="E47" i="2" a="1"/>
  <c r="E46" i="2" a="1"/>
  <c r="F7" i="2" a="1"/>
  <c r="D7" i="2" a="1"/>
  <c r="B7" i="2" a="1"/>
  <c r="D8" i="2" a="1"/>
  <c r="F8" i="2" a="1"/>
  <c r="E18" i="2" a="1"/>
  <c r="B8" i="2" a="1"/>
  <c r="E19" i="2" a="1"/>
  <c r="E103" i="2" l="1"/>
  <c r="H108" i="2" s="1"/>
  <c r="E102" i="2"/>
  <c r="H109" i="2" s="1"/>
  <c r="E74" i="2"/>
  <c r="H81" i="2" s="1"/>
  <c r="E75" i="2"/>
  <c r="H80" i="2" s="1"/>
  <c r="E46" i="2"/>
  <c r="H53" i="2" s="1"/>
  <c r="E47" i="2"/>
  <c r="H52" i="2" s="1"/>
  <c r="E19" i="2"/>
  <c r="H24" i="2" s="1"/>
  <c r="E18" i="2"/>
  <c r="H25" i="2" s="1"/>
  <c r="F8" i="2"/>
  <c r="F7" i="2"/>
  <c r="D8" i="2"/>
  <c r="D7" i="2"/>
  <c r="B7" i="2"/>
  <c r="B8" i="2"/>
  <c r="L2" i="1" s="1"/>
  <c r="L3" i="1" l="1"/>
  <c r="K30" i="2"/>
  <c r="L4" i="1"/>
  <c r="K20" i="2"/>
  <c r="K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<sst xmlns="http://schemas.openxmlformats.org/spreadsheetml/2006/main" count="571" uniqueCount="228">
  <si>
    <t>Stop</t>
  </si>
  <si>
    <t>Slow</t>
  </si>
  <si>
    <t>Medium</t>
  </si>
  <si>
    <t>Limited</t>
  </si>
  <si>
    <t>Approach</t>
  </si>
  <si>
    <t>Approach-Medium</t>
  </si>
  <si>
    <t>Clear/Proceed</t>
  </si>
  <si>
    <t>Restricting/Tumble Down</t>
  </si>
  <si>
    <t>Track Speeds</t>
  </si>
  <si>
    <t>Action Triggers</t>
  </si>
  <si>
    <t>None</t>
  </si>
  <si>
    <t>Immediately</t>
  </si>
  <si>
    <t>After delay</t>
  </si>
  <si>
    <t>Immediate if True</t>
  </si>
  <si>
    <t>Immediate if False</t>
  </si>
  <si>
    <t>Delayed if True</t>
  </si>
  <si>
    <t>Delayed if False</t>
  </si>
  <si>
    <t>Group Processing Actions</t>
  </si>
  <si>
    <t>Send Event ID, then Exit to Next Logic Group</t>
  </si>
  <si>
    <t>Send Event ID, then Evaluate Next Logic in Group</t>
  </si>
  <si>
    <t>Don't Send Event ID, just Exit to Next Group</t>
  </si>
  <si>
    <t>Don't Send Event ID, just Evaluate Next Logic in Group</t>
  </si>
  <si>
    <t>Null =&gt; True</t>
  </si>
  <si>
    <t>Group Functions</t>
  </si>
  <si>
    <t>Blocked (Logic is not used processed)</t>
  </si>
  <si>
    <t>Group (Logic is part of a group of logics)</t>
  </si>
  <si>
    <t>Last (Logic is last or only logic in a group)</t>
  </si>
  <si>
    <t>Cards</t>
  </si>
  <si>
    <t>Card 1</t>
  </si>
  <si>
    <t>Card 2</t>
  </si>
  <si>
    <t>Card 3</t>
  </si>
  <si>
    <t>Card 4</t>
  </si>
  <si>
    <t>Card 5</t>
  </si>
  <si>
    <t>Card 6</t>
  </si>
  <si>
    <t>Card 7</t>
  </si>
  <si>
    <t>Card 8</t>
  </si>
  <si>
    <t>Node ID</t>
  </si>
  <si>
    <t>05.01.01.01.5C.65</t>
  </si>
  <si>
    <t>Card #</t>
  </si>
  <si>
    <t>Card Type</t>
  </si>
  <si>
    <t>Device #</t>
  </si>
  <si>
    <t>Card Types</t>
  </si>
  <si>
    <t>BOD Card</t>
  </si>
  <si>
    <t>Turnout Card</t>
  </si>
  <si>
    <t>PWM Card</t>
  </si>
  <si>
    <t>Event IDs True</t>
  </si>
  <si>
    <t>Devices</t>
  </si>
  <si>
    <t>Device 1</t>
  </si>
  <si>
    <t>Device 2</t>
  </si>
  <si>
    <t>Device 3</t>
  </si>
  <si>
    <t>Device 4</t>
  </si>
  <si>
    <t>Device 5</t>
  </si>
  <si>
    <t>Device 6</t>
  </si>
  <si>
    <t>Device 7</t>
  </si>
  <si>
    <t>Device 8</t>
  </si>
  <si>
    <t>Event IDs False</t>
  </si>
  <si>
    <t>Description</t>
  </si>
  <si>
    <t>Condition 1</t>
  </si>
  <si>
    <t>Condition 2</t>
  </si>
  <si>
    <t>Condition's Trigger</t>
  </si>
  <si>
    <t>Condition's Source</t>
  </si>
  <si>
    <t>Condition's True Event ID</t>
  </si>
  <si>
    <t>Condition's False Event ID</t>
  </si>
  <si>
    <t>Condition 1 Only</t>
  </si>
  <si>
    <t>Condition 1 AND Condition 2</t>
  </si>
  <si>
    <t>Condition 1 OR Condition 2</t>
  </si>
  <si>
    <t>Condition 1 XOR Condition 2</t>
  </si>
  <si>
    <t>Condition 1 AND Condition 2 =&gt; Change</t>
  </si>
  <si>
    <t>Condition 1 OR Condition 2 =&gt; Change</t>
  </si>
  <si>
    <t>Condition 1 AND Then Condition 2 =&gt; True</t>
  </si>
  <si>
    <t>Condition 2 Only</t>
  </si>
  <si>
    <t>Speed of Track Circuit 1</t>
  </si>
  <si>
    <t>Speed of Track Circuit 2</t>
  </si>
  <si>
    <t>Speed of Track Circuit 3</t>
  </si>
  <si>
    <t>Speed of Track Circuit 4</t>
  </si>
  <si>
    <t>Speed of Track Circuit 5</t>
  </si>
  <si>
    <t>Speed of Track Circuit 6</t>
  </si>
  <si>
    <t>Speed of Track Circuit 7</t>
  </si>
  <si>
    <t>Speed of Track Circuit 8</t>
  </si>
  <si>
    <t>Event ID</t>
  </si>
  <si>
    <t>Logic Operations</t>
  </si>
  <si>
    <t>Condition Sources</t>
  </si>
  <si>
    <t>Condition Triggers</t>
  </si>
  <si>
    <t>When Condition's Event ID or Speed Changes</t>
  </si>
  <si>
    <t>When Condition's Event ID or Speed Occurs</t>
  </si>
  <si>
    <t>Condition's Track Speed</t>
  </si>
  <si>
    <t>Logic Conditionals</t>
  </si>
  <si>
    <t>Condition 2 Configuration</t>
  </si>
  <si>
    <t>Logic Action Timing</t>
  </si>
  <si>
    <t>Action Trigger</t>
  </si>
  <si>
    <t>Action Event ID</t>
  </si>
  <si>
    <t>Mast Operational Mode</t>
  </si>
  <si>
    <t>Normal</t>
  </si>
  <si>
    <t>Track Circuit Link Event ID</t>
  </si>
  <si>
    <t>Lamp Fade</t>
  </si>
  <si>
    <t>Rule Name</t>
  </si>
  <si>
    <t>Rule Track Speed</t>
  </si>
  <si>
    <t>Rule's Aspect Indicator</t>
  </si>
  <si>
    <t>Set Aspect Event ID</t>
  </si>
  <si>
    <t>Lamp Phase</t>
  </si>
  <si>
    <t>Lamp Brightness</t>
  </si>
  <si>
    <t>&lt;default&gt;</t>
  </si>
  <si>
    <t>Lamp Selection</t>
  </si>
  <si>
    <t>Rule Names</t>
  </si>
  <si>
    <t>0-Stop</t>
  </si>
  <si>
    <t>1-Take Siding</t>
  </si>
  <si>
    <t>2-Stop Orders</t>
  </si>
  <si>
    <t>3-Stop Proceed</t>
  </si>
  <si>
    <t>4-Restricting</t>
  </si>
  <si>
    <t>5-Permissive</t>
  </si>
  <si>
    <t>6-Slow-Approach</t>
  </si>
  <si>
    <t>7-Slow</t>
  </si>
  <si>
    <t>8-Slow-Medium</t>
  </si>
  <si>
    <t>9-Slow-Limited</t>
  </si>
  <si>
    <t>10-Slow-Clear</t>
  </si>
  <si>
    <t>11-Medium-Approach</t>
  </si>
  <si>
    <t>12-Medium-Slow</t>
  </si>
  <si>
    <t>13-Medium</t>
  </si>
  <si>
    <t>14-Medium-Clear</t>
  </si>
  <si>
    <t>15-Medium-Limited</t>
  </si>
  <si>
    <t>16-Limited-Approach</t>
  </si>
  <si>
    <t>17-Limited-Slow</t>
  </si>
  <si>
    <t>18-Limited-Medium</t>
  </si>
  <si>
    <t>19-Limited</t>
  </si>
  <si>
    <t>20-Limited-Clear</t>
  </si>
  <si>
    <t>21-Approach</t>
  </si>
  <si>
    <t>22-Advance-Approach</t>
  </si>
  <si>
    <t>23-Approach-Slow</t>
  </si>
  <si>
    <t>24-Advance-Approach-Slow</t>
  </si>
  <si>
    <t>25-Apporach-Medium</t>
  </si>
  <si>
    <t>26-Advance-Approach-Medium</t>
  </si>
  <si>
    <t>27-Approach-Limited</t>
  </si>
  <si>
    <t>28-Advance-Approach-Limited</t>
  </si>
  <si>
    <t>29-Clear</t>
  </si>
  <si>
    <t>30-Cab Speed</t>
  </si>
  <si>
    <t>31-Dark</t>
  </si>
  <si>
    <t>Aspect Indicators</t>
  </si>
  <si>
    <t>R/R - Stop before Signal</t>
  </si>
  <si>
    <t>Y/R - Switch not set</t>
  </si>
  <si>
    <t>Y/Y - Regular speed on diverging route</t>
  </si>
  <si>
    <t>Y/G - Clear, but less than 60 on divergence</t>
  </si>
  <si>
    <t>Y/R - Max 40 MPH, stop at next signal</t>
  </si>
  <si>
    <t>R/G - Proceed on diverging</t>
  </si>
  <si>
    <t>G/R - Proceed on mainline</t>
  </si>
  <si>
    <t>Y/R - Max 50 MPH on divergence</t>
  </si>
  <si>
    <t>Unused</t>
  </si>
  <si>
    <t>Lamp 1</t>
  </si>
  <si>
    <t>Lamp 2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</si>
  <si>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</si>
  <si>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</si>
  <si>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</si>
  <si>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</si>
  <si>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</si>
  <si>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</si>
  <si>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</si>
  <si>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</si>
  <si>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Lamp 11</t>
  </si>
  <si>
    <t>Lamp 12</t>
  </si>
  <si>
    <t>Lamp 13</t>
  </si>
  <si>
    <t>Lamp 14</t>
  </si>
  <si>
    <t>Lamp 15</t>
  </si>
  <si>
    <t>Lamp 16</t>
  </si>
  <si>
    <t>Logic Conditional Operation</t>
  </si>
  <si>
    <t>Logic Action Time Interval</t>
  </si>
  <si>
    <t>Logic Action Retriggerable</t>
  </si>
  <si>
    <t>&lt;enter text&gt;</t>
  </si>
  <si>
    <t>Action 1 (tab)</t>
  </si>
  <si>
    <t>Card 1 (tab)</t>
  </si>
  <si>
    <t>Reference ID</t>
  </si>
  <si>
    <t>Card Communications Bus</t>
  </si>
  <si>
    <t>Card Communications Address</t>
  </si>
  <si>
    <t>Mast 1 (tab)</t>
  </si>
  <si>
    <t>Mast Identifer</t>
  </si>
  <si>
    <t>Lamp Glow Effect Duration</t>
  </si>
  <si>
    <t>Card Bus</t>
  </si>
  <si>
    <t>Bus A</t>
  </si>
  <si>
    <t>Bus B</t>
  </si>
  <si>
    <t>Card Address</t>
  </si>
  <si>
    <t>0 = OFF, OFF, OFF</t>
  </si>
  <si>
    <t>1 = OFF, OFF, ON</t>
  </si>
  <si>
    <t>2 = OFF, ON, OFF</t>
  </si>
  <si>
    <t>3 = OFF, ON, ON</t>
  </si>
  <si>
    <t>4 = ON, OFF, OFF</t>
  </si>
  <si>
    <t>5 = ON, OFF, ON</t>
  </si>
  <si>
    <t>6 = ON, ON, OFF</t>
  </si>
  <si>
    <t>7 = ON, ON, ON</t>
  </si>
  <si>
    <t xml:space="preserve">Rules 1 to Aspect </t>
  </si>
  <si>
    <t xml:space="preserve">Rules 2 to Aspect </t>
  </si>
  <si>
    <t>Rule 1 (tab)</t>
  </si>
  <si>
    <t>Lamp 1 (tab)</t>
  </si>
  <si>
    <t>Rule 2 (tab)</t>
  </si>
  <si>
    <t>Rule 3 (tab)</t>
  </si>
  <si>
    <t xml:space="preserve">Rules 3 to Aspect </t>
  </si>
  <si>
    <t>Signal Mast Card #</t>
  </si>
  <si>
    <t>not used</t>
  </si>
  <si>
    <t>Choose an option</t>
  </si>
  <si>
    <t>&lt;Not Used&gt;</t>
  </si>
  <si>
    <t>Segment: Logics and Conditionals</t>
  </si>
  <si>
    <t>&gt; Logics and Conditional Configuration</t>
  </si>
  <si>
    <t>Group Functionality</t>
  </si>
  <si>
    <t>Condition 1 Configuration</t>
  </si>
  <si>
    <t>Condition's Track Circuit Speed</t>
  </si>
  <si>
    <t>Logic Flow for True Condition</t>
  </si>
  <si>
    <t>Logic Flow for False  Condition</t>
  </si>
  <si>
    <t>Logic Action Timing Delay</t>
  </si>
  <si>
    <t>Actions Configuration</t>
  </si>
  <si>
    <t>Logic (tab)</t>
  </si>
  <si>
    <t>Set Aspect Event IDs</t>
  </si>
  <si>
    <t>Rule 1</t>
  </si>
  <si>
    <t>Rule 2</t>
  </si>
  <si>
    <t>Rule 3</t>
  </si>
  <si>
    <t>EventID</t>
  </si>
  <si>
    <t>05.01.01.01.5C.65.15.00</t>
  </si>
  <si>
    <t xml:space="preserve"> </t>
  </si>
  <si>
    <t>Operation</t>
  </si>
  <si>
    <t>Signal Masts and Track Circuits</t>
  </si>
  <si>
    <t>Signal Mast Configuration(0)</t>
  </si>
  <si>
    <t>Card Information Configuration</t>
  </si>
  <si>
    <t>Card Communications Configuration</t>
  </si>
  <si>
    <t>Restore file Configuration</t>
  </si>
  <si>
    <t>Logic Statement:</t>
  </si>
  <si>
    <t>IF &lt;condition&gt; operation &lt;condition 2&gt;, THEN Action 1 ELSE Action 2</t>
  </si>
  <si>
    <t>Logic (1)</t>
  </si>
  <si>
    <t>End of Logic Statement</t>
  </si>
  <si>
    <t>x</t>
  </si>
  <si>
    <t>Logic (2)</t>
  </si>
  <si>
    <t>Logic (3)</t>
  </si>
  <si>
    <t>Logic (4)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</si>
</sst>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b/>
      <sz val="13"/>
      <color theme="3"/>
      <name val="Tw Cen MT"/>
      <family val="2"/>
      <scheme val="minor"/>
    </font>
    <font>
      <sz val="11"/>
      <color rgb="FF3F3F76"/>
      <name val="Tw Cen MT"/>
      <family val="2"/>
      <scheme val="minor"/>
    </font>
    <font>
      <b/>
      <sz val="11"/>
      <color rgb="FF3F3F3F"/>
      <name val="Tw Cen MT"/>
      <family val="2"/>
      <scheme val="minor"/>
    </font>
    <font>
      <i/>
      <sz val="11"/>
      <color rgb="FF7F7F7F"/>
      <name val="Tw Cen MT"/>
      <family val="2"/>
      <scheme val="minor"/>
    </font>
    <font>
      <sz val="9"/>
      <color theme="1"/>
      <name val="Tw Cen MT"/>
      <family val="2"/>
      <scheme val="minor"/>
    </font>
    <font>
      <b/>
      <i/>
      <sz val="9"/>
      <color rgb="FF7F7F7F"/>
      <name val="Tw Cen MT"/>
      <family val="2"/>
      <scheme val="minor"/>
    </font>
    <font>
      <b/>
      <sz val="9"/>
      <color rgb="FF3F3F3F"/>
      <name val="Tw Cen MT"/>
      <family val="2"/>
      <scheme val="minor"/>
    </font>
    <font>
      <b/>
      <sz val="9"/>
      <color theme="3"/>
      <name val="Tw Cen MT"/>
      <family val="2"/>
      <scheme val="minor"/>
    </font>
    <font>
      <sz val="9"/>
      <color rgb="FF3F3F76"/>
      <name val="Tw Cen MT"/>
      <family val="2"/>
      <scheme val="minor"/>
    </font>
    <font>
      <b/>
      <sz val="15"/>
      <color theme="3"/>
      <name val="Tw Cen MT"/>
      <family val="2"/>
      <scheme val="minor"/>
    </font>
    <font>
      <b/>
      <sz val="11"/>
      <color theme="3"/>
      <name val="Tw Cen MT"/>
      <family val="2"/>
      <scheme val="minor"/>
    </font>
    <font>
      <b/>
      <sz val="9"/>
      <color rgb="FFFF0000"/>
      <name val="Tw Cen MT"/>
      <family val="2"/>
      <scheme val="minor"/>
    </font>
    <font>
      <sz val="8"/>
      <color theme="1"/>
      <name val="Tw Cen MT"/>
      <family val="2"/>
      <scheme val="minor"/>
    </font>
    <font>
      <b/>
      <sz val="8"/>
      <color theme="3"/>
      <name val="Tw Cen MT"/>
      <family val="2"/>
      <scheme val="minor"/>
    </font>
    <font>
      <sz val="12"/>
      <color rgb="FFFF0000"/>
      <name val="Tw Cen MT"/>
      <family val="2"/>
      <scheme val="minor"/>
    </font>
    <font>
      <b/>
      <i/>
      <sz val="14"/>
      <color rgb="FF7F7F7F"/>
      <name val="Tw Cen MT"/>
      <family val="2"/>
      <scheme val="minor"/>
    </font>
    <font>
      <b/>
      <i/>
      <sz val="16"/>
      <color rgb="FFFF0000"/>
      <name val="Tw Cen MT"/>
      <family val="2"/>
      <scheme val="minor"/>
    </font>
    <font>
      <sz val="11"/>
      <color rgb="FF000000"/>
      <name val="Tw Cen MT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/>
      <top/>
      <bottom style="medium">
        <color theme="4" tint="0.3999755851924192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/>
    <xf numFmtId="0" fontId="3" fillId="4" borderId="3" applyNumberFormat="0" applyAlignment="0" applyProtection="0"/>
    <xf numFmtId="0" fontId="4" fillId="5" borderId="4" applyNumberFormat="0" applyAlignment="0" applyProtection="0"/>
    <xf numFmtId="0" fontId="5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12" fillId="0" borderId="2" applyNumberFormat="0" applyFill="0" applyAlignment="0" applyProtection="0"/>
    <xf numFmtId="0" fontId="12" fillId="0" borderId="0" applyNumberFormat="0" applyFill="0" applyBorder="0" applyAlignment="0" applyProtection="0"/>
  </cellStyleXfs>
  <cellXfs count="42">
    <xf numFmtId="0" fontId="0" fillId="0" borderId="0" xfId="0"/>
    <xf numFmtId="0" fontId="6" fillId="0" borderId="0" xfId="0" applyFont="1"/>
    <xf numFmtId="0" fontId="6" fillId="0" borderId="0" xfId="0" applyFont="1" applyAlignment="1">
      <alignment horizontal="center"/>
    </xf>
    <xf numFmtId="0" fontId="7" fillId="6" borderId="5" xfId="4" applyNumberFormat="1" applyFont="1" applyFill="1" applyBorder="1" applyAlignment="1">
      <alignment wrapText="1"/>
    </xf>
    <xf numFmtId="0" fontId="10" fillId="4" borderId="3" xfId="2" applyNumberFormat="1" applyFont="1" applyAlignment="1">
      <alignment wrapText="1"/>
    </xf>
    <xf numFmtId="0" fontId="7" fillId="2" borderId="3" xfId="4" applyNumberFormat="1" applyFont="1" applyFill="1" applyBorder="1" applyAlignment="1">
      <alignment wrapText="1"/>
    </xf>
    <xf numFmtId="0" fontId="6" fillId="0" borderId="0" xfId="0" applyFont="1" applyAlignment="1">
      <alignment wrapText="1"/>
    </xf>
    <xf numFmtId="0" fontId="9" fillId="7" borderId="2" xfId="7" applyNumberFormat="1" applyFont="1" applyFill="1" applyBorder="1" applyAlignment="1">
      <alignment horizontal="left" wrapText="1"/>
    </xf>
    <xf numFmtId="0" fontId="7" fillId="6" borderId="2" xfId="4" applyNumberFormat="1" applyFont="1" applyFill="1" applyBorder="1" applyAlignment="1">
      <alignment wrapText="1"/>
    </xf>
    <xf numFmtId="0" fontId="9" fillId="7" borderId="2" xfId="6" applyNumberFormat="1" applyFont="1" applyFill="1" applyAlignment="1">
      <alignment wrapText="1"/>
    </xf>
    <xf numFmtId="0" fontId="9" fillId="7" borderId="1" xfId="1" applyNumberFormat="1" applyFont="1" applyFill="1" applyAlignment="1">
      <alignment wrapText="1"/>
    </xf>
    <xf numFmtId="0" fontId="7" fillId="7" borderId="0" xfId="4" applyNumberFormat="1" applyFont="1" applyFill="1" applyAlignment="1">
      <alignment wrapText="1"/>
    </xf>
    <xf numFmtId="0" fontId="8" fillId="5" borderId="4" xfId="3" applyNumberFormat="1" applyFont="1" applyAlignment="1">
      <alignment wrapText="1"/>
    </xf>
    <xf numFmtId="0" fontId="10" fillId="4" borderId="3" xfId="2" applyFont="1" applyAlignment="1">
      <alignment wrapText="1"/>
    </xf>
    <xf numFmtId="0" fontId="8" fillId="5" borderId="4" xfId="3" applyFont="1" applyAlignment="1">
      <alignment wrapText="1"/>
    </xf>
    <xf numFmtId="0" fontId="7" fillId="6" borderId="6" xfId="4" applyNumberFormat="1" applyFont="1" applyFill="1" applyBorder="1" applyAlignment="1">
      <alignment wrapText="1"/>
    </xf>
    <xf numFmtId="0" fontId="8" fillId="5" borderId="7" xfId="3" applyNumberFormat="1" applyFont="1" applyBorder="1" applyAlignment="1">
      <alignment wrapText="1"/>
    </xf>
    <xf numFmtId="0" fontId="7" fillId="2" borderId="8" xfId="4" applyNumberFormat="1" applyFont="1" applyFill="1" applyBorder="1" applyAlignment="1">
      <alignment wrapText="1"/>
    </xf>
    <xf numFmtId="0" fontId="6" fillId="9" borderId="0" xfId="0" applyFont="1" applyFill="1" applyAlignment="1">
      <alignment wrapText="1"/>
    </xf>
    <xf numFmtId="0" fontId="7" fillId="6" borderId="2" xfId="4" applyNumberFormat="1" applyFont="1" applyFill="1" applyBorder="1" applyAlignment="1">
      <alignment horizontal="left" wrapText="1"/>
    </xf>
    <xf numFmtId="0" fontId="9" fillId="7" borderId="0" xfId="1" applyNumberFormat="1" applyFont="1" applyFill="1" applyBorder="1" applyAlignment="1">
      <alignment horizontal="left" wrapText="1"/>
    </xf>
    <xf numFmtId="0" fontId="9" fillId="9" borderId="0" xfId="7" applyFont="1" applyFill="1" applyAlignment="1">
      <alignment horizontal="left" wrapText="1"/>
    </xf>
    <xf numFmtId="0" fontId="6" fillId="9" borderId="0" xfId="0" applyFont="1" applyFill="1" applyAlignment="1">
      <alignment horizontal="left" wrapText="1"/>
    </xf>
    <xf numFmtId="0" fontId="9" fillId="7" borderId="0" xfId="6" applyNumberFormat="1" applyFont="1" applyFill="1" applyBorder="1" applyAlignment="1">
      <alignment horizontal="left" wrapText="1"/>
    </xf>
    <xf numFmtId="0" fontId="9" fillId="9" borderId="2" xfId="7" applyNumberFormat="1" applyFont="1" applyFill="1" applyBorder="1" applyAlignment="1">
      <alignment horizontal="left" wrapText="1"/>
    </xf>
    <xf numFmtId="0" fontId="14" fillId="0" borderId="0" xfId="0" applyFont="1" applyAlignment="1">
      <alignment wrapText="1"/>
    </xf>
    <xf numFmtId="0" fontId="15" fillId="0" borderId="2" xfId="6" applyFont="1" applyAlignment="1">
      <alignment wrapText="1"/>
    </xf>
    <xf numFmtId="0" fontId="10" fillId="4" borderId="3" xfId="2" quotePrefix="1" applyFont="1" applyAlignment="1">
      <alignment wrapText="1"/>
    </xf>
    <xf numFmtId="0" fontId="17" fillId="6" borderId="5" xfId="4" applyNumberFormat="1" applyFont="1" applyFill="1" applyBorder="1" applyAlignment="1">
      <alignment wrapText="1"/>
    </xf>
    <xf numFmtId="0" fontId="18" fillId="6" borderId="5" xfId="4" applyNumberFormat="1" applyFont="1" applyFill="1" applyBorder="1" applyAlignment="1">
      <alignment wrapText="1"/>
    </xf>
    <xf numFmtId="0" fontId="12" fillId="3" borderId="2" xfId="6" applyNumberFormat="1" applyFill="1" applyAlignment="1">
      <alignment horizontal="center" wrapText="1"/>
    </xf>
    <xf numFmtId="0" fontId="2" fillId="8" borderId="0" xfId="1" applyNumberFormat="1" applyFill="1" applyBorder="1" applyAlignment="1">
      <alignment horizontal="left" wrapText="1"/>
    </xf>
    <xf numFmtId="0" fontId="12" fillId="3" borderId="2" xfId="6" applyNumberFormat="1" applyFill="1" applyAlignment="1">
      <alignment horizontal="center" wrapText="1"/>
    </xf>
    <xf numFmtId="0" fontId="16" fillId="8" borderId="0" xfId="0" applyFont="1" applyFill="1" applyAlignment="1">
      <alignment horizontal="left" wrapText="1"/>
    </xf>
    <xf numFmtId="0" fontId="13" fillId="8" borderId="0" xfId="5" applyFont="1" applyFill="1" applyBorder="1" applyAlignment="1">
      <alignment horizontal="left" wrapText="1"/>
    </xf>
    <xf numFmtId="0" fontId="9" fillId="9" borderId="0" xfId="6" applyNumberFormat="1" applyFont="1" applyFill="1" applyBorder="1" applyAlignment="1">
      <alignment horizontal="left" wrapText="1"/>
    </xf>
    <xf numFmtId="0" fontId="9" fillId="9" borderId="2" xfId="7" applyNumberFormat="1" applyFont="1" applyFill="1" applyBorder="1" applyAlignment="1">
      <alignment horizontal="left" wrapText="1"/>
    </xf>
    <xf numFmtId="0" fontId="9" fillId="3" borderId="1" xfId="1" applyNumberFormat="1" applyFont="1" applyFill="1" applyAlignment="1">
      <alignment horizontal="center" wrapText="1"/>
    </xf>
    <xf numFmtId="0" fontId="9" fillId="7" borderId="0" xfId="1" applyNumberFormat="1" applyFont="1" applyFill="1" applyBorder="1" applyAlignment="1">
      <alignment horizontal="left" wrapText="1"/>
    </xf>
    <xf numFmtId="0" fontId="2" fillId="8" borderId="0" xfId="1" applyNumberFormat="1" applyFont="1" applyFill="1" applyBorder="1" applyAlignment="1">
      <alignment horizontal="left" wrapText="1"/>
    </xf>
    <xf numFmtId="0" fontId="12" fillId="3" borderId="2" xfId="6" applyNumberFormat="1" applyFont="1" applyFill="1" applyAlignment="1">
      <alignment horizontal="center" wrapText="1"/>
    </xf>
    <xf numFmtId="0" fontId="12" fillId="3" borderId="2" xfId="6" applyNumberFormat="1" applyFont="1" applyFill="1" applyAlignment="1">
      <alignment horizontal="center" wrapText="1"/>
    </xf>
  </cellXfs>
  <cellStyles count="8">
    <cellStyle name="Explanatory Text" xfId="4" builtinId="53"/>
    <cellStyle name="Heading 1" xfId="5" builtinId="16"/>
    <cellStyle name="Heading 2" xfId="1" builtinId="17"/>
    <cellStyle name="Heading 3" xfId="6" builtinId="18"/>
    <cellStyle name="Heading 4" xfId="7" builtinId="19"/>
    <cellStyle name="Input" xfId="2" builtinId="20"/>
    <cellStyle name="Normal" xfId="0" builtinId="0"/>
    <cellStyle name="Output" xfId="3" builtinId="2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Tw Cen MT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28575</xdr:rowOff>
        </xdr:from>
        <xdr:to>
          <xdr:col>4</xdr:col>
          <xdr:colOff>57150</xdr:colOff>
          <xdr:row>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w Cen MT"/>
                </a:rPr>
                <a:t>Delete Existing Logic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28575</xdr:rowOff>
        </xdr:from>
        <xdr:to>
          <xdr:col>2</xdr:col>
          <xdr:colOff>1524000</xdr:colOff>
          <xdr:row>1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w Cen MT"/>
                </a:rPr>
                <a:t>Add New Logic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38100</xdr:rowOff>
        </xdr:from>
        <xdr:to>
          <xdr:col>4</xdr:col>
          <xdr:colOff>28575</xdr:colOff>
          <xdr:row>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w Cen MT"/>
                </a:rPr>
                <a:t>Move Existing Logic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29</xdr:row>
      <xdr:rowOff>0</xdr:rowOff>
    </xdr:from>
    <xdr:to>
      <xdr:col>2</xdr:col>
      <xdr:colOff>866775</xdr:colOff>
      <xdr:row>33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67325"/>
          <a:ext cx="3371850" cy="733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</xdr:row>
          <xdr:rowOff>38100</xdr:rowOff>
        </xdr:from>
        <xdr:to>
          <xdr:col>2</xdr:col>
          <xdr:colOff>1524000</xdr:colOff>
          <xdr:row>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w Cen MT"/>
                </a:rPr>
                <a:t>Copy Existing Logic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57</xdr:row>
      <xdr:rowOff>0</xdr:rowOff>
    </xdr:from>
    <xdr:ext cx="3371850" cy="733425"/>
    <xdr:pic>
      <xdr:nvPicPr>
        <xdr:cNvPr id="7" name="Picture 6">
          <a:extLst>
            <a:ext uri="{FF2B5EF4-FFF2-40B4-BE49-F238E27FC236}">
              <a16:creationId xmlns:a16="http://schemas.microsoft.com/office/drawing/2014/main" id="{9B1E5FF3-D205-4D58-A912-047A14BE3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334625"/>
          <a:ext cx="3371850" cy="73342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85</xdr:row>
      <xdr:rowOff>0</xdr:rowOff>
    </xdr:from>
    <xdr:ext cx="3371850" cy="733425"/>
    <xdr:pic>
      <xdr:nvPicPr>
        <xdr:cNvPr id="8" name="Picture 7">
          <a:extLst>
            <a:ext uri="{FF2B5EF4-FFF2-40B4-BE49-F238E27FC236}">
              <a16:creationId xmlns:a16="http://schemas.microsoft.com/office/drawing/2014/main" id="{61A7EC3B-93CA-4C29-B4AE-2711CCEF7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334625"/>
          <a:ext cx="3371850" cy="73342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113</xdr:row>
      <xdr:rowOff>0</xdr:rowOff>
    </xdr:from>
    <xdr:ext cx="3371850" cy="733425"/>
    <xdr:pic>
      <xdr:nvPicPr>
        <xdr:cNvPr id="9" name="Picture 8">
          <a:extLst>
            <a:ext uri="{FF2B5EF4-FFF2-40B4-BE49-F238E27FC236}">
              <a16:creationId xmlns:a16="http://schemas.microsoft.com/office/drawing/2014/main" id="{5A955099-EA7C-448D-9AF5-E34BF2212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67325"/>
          <a:ext cx="3371850" cy="73342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DC1364-A3E5-4D6C-B7C7-8BADCF10C902}" name="TrackSpeeds_Table" displayName="TrackSpeeds_Table" ref="A1:A9" totalsRowShown="0" headerRowDxfId="48" dataDxfId="47">
  <autoFilter ref="A1:A9" xr:uid="{32DC1364-A3E5-4D6C-B7C7-8BADCF10C902}">
    <filterColumn colId="0" hiddenButton="1"/>
  </autoFilter>
  <tableColumns count="1">
    <tableColumn id="1" xr3:uid="{C91BBF29-25BC-4295-A14C-9F244DF9EC46}" name="Track Speeds" dataDxfId="4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7DA73E-EE6F-46AE-88B8-2D2197CD2C60}" name="ActionTriggers_Table" displayName="ActionTriggers_Table" ref="C1:C8" totalsRowShown="0" headerRowDxfId="45" dataDxfId="44">
  <autoFilter ref="C1:C8" xr:uid="{DC7DA73E-EE6F-46AE-88B8-2D2197CD2C60}">
    <filterColumn colId="0" hiddenButton="1"/>
  </autoFilter>
  <tableColumns count="1">
    <tableColumn id="1" xr3:uid="{331BC6E7-C172-42DA-A67D-9D5E36CCE30E}" name="Action Triggers" dataDxfId="4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86139D-A62C-4DEE-A5FF-A57B61FDC9D6}" name="ConditionSources_Table" displayName="ConditionSources_Table" ref="E1:E10" totalsRowShown="0" headerRowDxfId="42" dataDxfId="41">
  <autoFilter ref="E1:E10" xr:uid="{0086139D-A62C-4DEE-A5FF-A57B61FDC9D6}">
    <filterColumn colId="0" hiddenButton="1"/>
  </autoFilter>
  <tableColumns count="1">
    <tableColumn id="1" xr3:uid="{D18A6213-A625-449E-B36D-899AEF7CF589}" name="Condition Sources" dataDxfId="4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3A4075-BF84-4900-B9E8-CC544BA85C6E}" name="GroupProcessing_Table" displayName="GroupProcessing_Table" ref="A23:A27" totalsRowShown="0" headerRowDxfId="39" dataDxfId="38">
  <autoFilter ref="A23:A27" xr:uid="{943A4075-BF84-4900-B9E8-CC544BA85C6E}">
    <filterColumn colId="0" hiddenButton="1"/>
  </autoFilter>
  <tableColumns count="1">
    <tableColumn id="1" xr3:uid="{24D14D27-C225-4B85-858A-A84C3E612367}" name="Group Processing Actions" dataDxfId="3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377645-F534-460C-93B0-52745B95C757}" name="LogicOperations_Table" displayName="LogicOperations_Table" ref="A12:A21" totalsRowShown="0" headerRowDxfId="36" dataDxfId="35">
  <autoFilter ref="A12:A21" xr:uid="{3D377645-F534-460C-93B0-52745B95C757}">
    <filterColumn colId="0" hiddenButton="1"/>
  </autoFilter>
  <tableColumns count="1">
    <tableColumn id="1" xr3:uid="{C32E7349-D129-46EF-B005-BFCEAA3CECF8}" name="Logic Operations" dataDxfId="3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3C892A-A93E-48DF-90A3-2CFE8DAEBE18}" name="GroupFunctions_Table" displayName="GroupFunctions_Table" ref="A29:A32" totalsRowShown="0" headerRowDxfId="33" dataDxfId="32">
  <autoFilter ref="A29:A32" xr:uid="{D83C892A-A93E-48DF-90A3-2CFE8DAEBE18}">
    <filterColumn colId="0" hiddenButton="1"/>
  </autoFilter>
  <tableColumns count="1">
    <tableColumn id="1" xr3:uid="{F2F15FDB-10C8-482A-BFAF-2184C1ED25E7}" name="Group Functions" dataDxfId="31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E20C05-8E66-415E-AED8-84CC3E07E050}" name="Cards_Table" displayName="Cards_Table" ref="C12:C20" totalsRowShown="0" headerRowDxfId="30" dataDxfId="29">
  <autoFilter ref="C12:C20" xr:uid="{D3E20C05-8E66-415E-AED8-84CC3E07E050}">
    <filterColumn colId="0" hiddenButton="1"/>
  </autoFilter>
  <tableColumns count="1">
    <tableColumn id="1" xr3:uid="{2A5854DD-5299-4C65-AF5F-503E132013FC}" name="Cards" dataDxfId="2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F7B5F3B-82B4-45A1-937F-5802BA27FA77}" name="Devices_Table" displayName="Devices_Table" ref="E17:E25" totalsRowShown="0" headerRowDxfId="27" dataDxfId="26">
  <autoFilter ref="E17:E25" xr:uid="{DF7B5F3B-82B4-45A1-937F-5802BA27FA77}">
    <filterColumn colId="0" hiddenButton="1"/>
  </autoFilter>
  <tableColumns count="1">
    <tableColumn id="1" xr3:uid="{28ED522F-450E-44DD-A16C-B53A0A20ED1A}" name="Devices" dataDxfId="25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F35FC0-542F-4135-8A47-E41490752F3D}" name="CardTypes_Table" displayName="CardTypes_Table" ref="C22:C25" totalsRowShown="0" headerRowDxfId="24" dataDxfId="23">
  <autoFilter ref="C22:C25" xr:uid="{7FF35FC0-542F-4135-8A47-E41490752F3D}">
    <filterColumn colId="0" hiddenButton="1"/>
  </autoFilter>
  <tableColumns count="1">
    <tableColumn id="1" xr3:uid="{8A653751-1403-4D26-8855-CAAEE9CF3D98}" name="Card Types" dataDxfId="22"/>
  </tableColumns>
  <tableStyleInfo name="TableStyleLight1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C40A630-D8BB-426D-A6A4-2223BF3B0371}" name="ConditionTriggers_Table" displayName="ConditionTriggers_Table" ref="E12:E15" totalsRowShown="0" headerRowDxfId="21" dataDxfId="20">
  <autoFilter ref="E12:E15" xr:uid="{3C40A630-D8BB-426D-A6A4-2223BF3B0371}">
    <filterColumn colId="0" hiddenButton="1"/>
  </autoFilter>
  <tableColumns count="1">
    <tableColumn id="1" xr3:uid="{EBD53C33-CD28-45E6-AA46-B23B7CD5C2D1}" name="Condition Triggers" dataDxfId="19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0B2219-C348-4CA5-BCC6-F64F5ADFBD81}" name="RuleNames_Table" displayName="RuleNames_Table" ref="G12:G44" totalsRowShown="0" headerRowDxfId="18" dataDxfId="17">
  <autoFilter ref="G12:G44" xr:uid="{430B2219-C348-4CA5-BCC6-F64F5ADFBD81}">
    <filterColumn colId="0" hiddenButton="1"/>
  </autoFilter>
  <tableColumns count="1">
    <tableColumn id="1" xr3:uid="{508E1CA3-EEC9-4C3B-8739-A9E1271673AE}" name="Rule Names" dataDxfId="16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3A0960C-C222-42C9-9292-27BA07A3E450}" name="AspectIndicators_Table" displayName="AspectIndicators_Table" ref="G1:G9" totalsRowShown="0" headerRowDxfId="15" dataDxfId="14">
  <autoFilter ref="G1:G9" xr:uid="{53A0960C-C222-42C9-9292-27BA07A3E450}">
    <filterColumn colId="0" hiddenButton="1"/>
  </autoFilter>
  <tableColumns count="1">
    <tableColumn id="1" xr3:uid="{B6E4E5BB-18BB-47E4-B7C6-4C2337F11D72}" name="Aspect Indicators" dataDxfId="13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EF6FD45-1F0A-4008-8C29-D08756965D4C}" name="LampSelection_Table" displayName="LampSelection_Table" ref="I1:I18" totalsRowShown="0" headerRowDxfId="12" dataDxfId="11">
  <autoFilter ref="I1:I18" xr:uid="{9EF6FD45-1F0A-4008-8C29-D08756965D4C}">
    <filterColumn colId="0" hiddenButton="1"/>
  </autoFilter>
  <tableColumns count="1">
    <tableColumn id="1" xr3:uid="{68C92323-CF08-408D-8868-B095576518CE}" name="Lamp Selection" dataDxfId="10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FF57E02-C0EC-476D-BD25-266578ECDFCC}" name="CardBus_Table" displayName="CardBus_Table" ref="C27:C29" totalsRowShown="0" headerRowDxfId="9" dataDxfId="8">
  <autoFilter ref="C27:C29" xr:uid="{EFF57E02-C0EC-476D-BD25-266578ECDFCC}">
    <filterColumn colId="0" hiddenButton="1"/>
  </autoFilter>
  <tableColumns count="1">
    <tableColumn id="1" xr3:uid="{4507C032-AAB9-47B6-AE6F-BECE7C3A7EB5}" name="Card Bus" dataDxfId="7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B35A6F8-FFEB-4FF9-9007-7907909F4910}" name="Table15" displayName="Table15" ref="C31:C39" totalsRowShown="0" headerRowDxfId="6" dataDxfId="5">
  <autoFilter ref="C31:C39" xr:uid="{AB35A6F8-FFEB-4FF9-9007-7907909F4910}">
    <filterColumn colId="0" hiddenButton="1"/>
  </autoFilter>
  <tableColumns count="1">
    <tableColumn id="1" xr3:uid="{781A0C72-4725-4D25-A079-498840D22EAF}" name="Card Address" dataDxfId="4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13BB3B-AE7D-4D04-B62E-02CCDBC22AE9}" name="SetAspectEventId_Table" displayName="SetAspectEventId_Table" ref="K1:L4" totalsRowShown="0" headerRowDxfId="3" dataDxfId="2">
  <autoFilter ref="K1:L4" xr:uid="{B913BB3B-AE7D-4D04-B62E-02CCDBC22AE9}">
    <filterColumn colId="0" hiddenButton="1"/>
    <filterColumn colId="1" hiddenButton="1"/>
  </autoFilter>
  <tableColumns count="2">
    <tableColumn id="3" xr3:uid="{8CD3D24F-CF80-491A-AD43-612A085AFC0E}" name="Set Aspect Event IDs" dataDxfId="1"/>
    <tableColumn id="1" xr3:uid="{10AEB923-9E3B-4C0E-AEC6-7ED14BFDBAE6}" name="EventID" dataDxfId="0"/>
  </tableColumns>
  <tableStyleInfo name="TableStyleLight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98B8-F701-46F6-A785-E7F7D80BAFA2}">
  <sheetPr codeName="Sheet1"/>
  <dimension ref="A2:L2669"/>
  <sheetViews>
    <sheetView tabSelected="1" workbookViewId="0">
      <selection activeCell="D21" sqref="D21"/>
    </sheetView>
  </sheetViews>
  <sheetFormatPr defaultRowHeight="12" x14ac:dyDescent="0.2"/>
  <cols>
    <col min="1" max="1" width="16.5" style="6" customWidth="1"/>
    <col min="2" max="2" width="16.375" style="6" customWidth="1"/>
    <col min="3" max="3" width="20.125" style="6" customWidth="1"/>
    <col min="4" max="4" width="17.75" style="6" customWidth="1"/>
    <col min="5" max="5" width="16.125" style="6" customWidth="1"/>
    <col min="6" max="6" width="16.75" style="6" customWidth="1"/>
    <col min="7" max="7" width="20.375" style="6" customWidth="1"/>
    <col min="8" max="8" width="27.75" style="6" customWidth="1"/>
    <col min="9" max="9" width="4.25" style="6" customWidth="1"/>
    <col min="10" max="10" width="28.875" style="6" customWidth="1"/>
    <col min="11" max="11" width="19.375" style="6" customWidth="1"/>
    <col min="12" max="12" width="65.5" style="25" customWidth="1"/>
    <col min="13" max="16384" width="9" style="6"/>
  </cols>
  <sheetData>
    <row r="2" spans="1:12" ht="12.75" thickBot="1" x14ac:dyDescent="0.25">
      <c r="A2" s="8" t="s">
        <v>36</v>
      </c>
      <c r="B2" s="4" t="s">
        <v>37</v>
      </c>
      <c r="J2" s="34" t="s">
        <v>215</v>
      </c>
      <c r="K2" s="34"/>
    </row>
    <row r="3" spans="1:12" x14ac:dyDescent="0.2">
      <c r="D3" s="6" t="s">
        <v>213</v>
      </c>
      <c r="J3" s="38" t="s">
        <v>216</v>
      </c>
      <c r="K3" s="38"/>
    </row>
    <row r="4" spans="1:12" ht="15" customHeight="1" thickBot="1" x14ac:dyDescent="0.25">
      <c r="A4" s="8" t="s">
        <v>193</v>
      </c>
      <c r="B4" s="4" t="s">
        <v>28</v>
      </c>
      <c r="J4" s="9" t="s">
        <v>167</v>
      </c>
      <c r="K4" s="10"/>
      <c r="L4" s="26" t="s">
        <v>219</v>
      </c>
    </row>
    <row r="5" spans="1:12" ht="15" customHeight="1" thickBot="1" x14ac:dyDescent="0.25">
      <c r="A5" s="37" t="s">
        <v>186</v>
      </c>
      <c r="B5" s="37"/>
      <c r="C5" s="37" t="s">
        <v>187</v>
      </c>
      <c r="D5" s="37"/>
      <c r="E5" s="37" t="s">
        <v>192</v>
      </c>
      <c r="F5" s="37"/>
      <c r="J5" s="18" t="s">
        <v>217</v>
      </c>
      <c r="K5" s="18"/>
    </row>
    <row r="6" spans="1:12" ht="13.5" thickTop="1" thickBot="1" x14ac:dyDescent="0.25">
      <c r="A6" s="8" t="s">
        <v>102</v>
      </c>
      <c r="B6" s="4" t="s">
        <v>147</v>
      </c>
      <c r="C6" s="8" t="s">
        <v>102</v>
      </c>
      <c r="D6" s="4" t="s">
        <v>147</v>
      </c>
      <c r="E6" s="8" t="s">
        <v>102</v>
      </c>
      <c r="F6" s="4" t="s">
        <v>148</v>
      </c>
      <c r="J6" s="11" t="s">
        <v>168</v>
      </c>
      <c r="K6" s="4">
        <v>100</v>
      </c>
      <c r="L6" s="25" t="str">
        <f>J$5 &amp; "." &amp; J6 &amp; "." &amp; K6</f>
        <v>Card Information Configuration.Reference ID.100</v>
      </c>
    </row>
    <row r="7" spans="1:12" ht="11.25" customHeight="1" thickBot="1" x14ac:dyDescent="0.25">
      <c r="A7" s="19" t="s">
        <v>93</v>
      </c>
      <c r="B7" s="12" t="str" cm="1">
        <f t="array" ref="B7">GetEventID.GetEventID($B$2, MATCH(B$4, Cards_Table[Cards],0)-1, 5,  14*16)</f>
        <v>05.01.01.01.5C.65.05.E0</v>
      </c>
      <c r="C7" s="8" t="s">
        <v>93</v>
      </c>
      <c r="D7" s="12" t="str" cm="1">
        <f t="array" ref="D7">GetEventID.GetEventID($B$2, MATCH($B$4, Cards_Table[Cards],0)-1, 5,  14*16+1)</f>
        <v>05.01.01.01.5C.65.05.E1</v>
      </c>
      <c r="E7" s="8" t="s">
        <v>93</v>
      </c>
      <c r="F7" s="12" t="str" cm="1">
        <f t="array" ref="F7">GetEventID.GetEventID($B$2, MATCH($B$4, Cards_Table[Cards],0)-1, 5,  14*16+2)</f>
        <v>05.01.01.01.5C.65.05.E2</v>
      </c>
      <c r="J7" s="11" t="s">
        <v>56</v>
      </c>
      <c r="K7" s="4" t="s">
        <v>165</v>
      </c>
      <c r="L7" s="25" t="str">
        <f>J$5 &amp; "." &amp; J7 &amp; "." &amp; K7</f>
        <v>Card Information Configuration.Description.&lt;enter text&gt;</v>
      </c>
    </row>
    <row r="8" spans="1:12" ht="15" customHeight="1" thickBot="1" x14ac:dyDescent="0.25">
      <c r="A8" s="8" t="s">
        <v>98</v>
      </c>
      <c r="B8" s="12" t="str" cm="1">
        <f t="array" ref="B8">GetEventID.GetEventID($B$2, MATCH(B$4, Cards_Table[Cards],0)-1, 5,  0)</f>
        <v>05.01.01.01.5C.65.05.00</v>
      </c>
      <c r="C8" s="8" t="s">
        <v>98</v>
      </c>
      <c r="D8" s="12" t="str" cm="1">
        <f t="array" ref="D8">GetEventID.GetEventID($B$2, MATCH($B$4, Cards_Table[Cards],0)-1, 5,  3)</f>
        <v>05.01.01.01.5C.65.05.03</v>
      </c>
      <c r="E8" s="8" t="s">
        <v>98</v>
      </c>
      <c r="F8" s="12" t="str" cm="1">
        <f t="array" ref="F8">GetEventID.GetEventID($B$2, MATCH($B$4, Cards_Table[Cards],0)-1, 5,  6)</f>
        <v>05.01.01.01.5C.65.05.06</v>
      </c>
      <c r="G8" s="34" t="s">
        <v>197</v>
      </c>
      <c r="H8" s="34"/>
      <c r="J8" s="18" t="s">
        <v>218</v>
      </c>
      <c r="K8" s="18"/>
    </row>
    <row r="9" spans="1:12" ht="12" customHeight="1" x14ac:dyDescent="0.2">
      <c r="G9" s="20" t="s">
        <v>198</v>
      </c>
      <c r="H9" s="20"/>
      <c r="J9" s="11" t="s">
        <v>169</v>
      </c>
      <c r="K9" s="13" t="s">
        <v>175</v>
      </c>
      <c r="L9" s="25" t="str">
        <f>J$8 &amp; "." &amp; J9 &amp; "." &amp; K9</f>
        <v>Card Communications Configuration.Card Communications Bus.Bus A</v>
      </c>
    </row>
    <row r="10" spans="1:12" ht="17.25" customHeight="1" thickBot="1" x14ac:dyDescent="0.35">
      <c r="A10" s="29" t="s">
        <v>222</v>
      </c>
      <c r="B10" s="31" t="s">
        <v>86</v>
      </c>
      <c r="C10" s="31"/>
      <c r="D10" s="31"/>
      <c r="E10" s="31"/>
      <c r="F10" s="31"/>
      <c r="G10" s="31" t="s">
        <v>206</v>
      </c>
      <c r="H10" s="31"/>
      <c r="J10" s="11" t="s">
        <v>170</v>
      </c>
      <c r="K10" s="27" t="s">
        <v>179</v>
      </c>
      <c r="L10" s="25" t="str">
        <f>J$8 &amp; "." &amp; J10 &amp; "." &amp; MATCH(K10, CardAddress_List)-1</f>
        <v>Card Communications Configuration.Card Communications Address.1</v>
      </c>
    </row>
    <row r="11" spans="1:12" ht="17.25" customHeight="1" thickBot="1" x14ac:dyDescent="0.25">
      <c r="A11" s="32" t="s">
        <v>57</v>
      </c>
      <c r="B11" s="32"/>
      <c r="C11" s="30" t="s">
        <v>214</v>
      </c>
      <c r="D11" s="32" t="s">
        <v>58</v>
      </c>
      <c r="E11" s="32"/>
      <c r="F11" s="18"/>
      <c r="G11" s="11" t="s">
        <v>56</v>
      </c>
      <c r="H11" s="4" t="s">
        <v>165</v>
      </c>
      <c r="J11" s="35" t="s">
        <v>171</v>
      </c>
      <c r="K11" s="35"/>
    </row>
    <row r="12" spans="1:12" ht="17.25" customHeight="1" thickBot="1" x14ac:dyDescent="0.25">
      <c r="A12" s="3" t="s">
        <v>60</v>
      </c>
      <c r="B12" s="4" t="s">
        <v>71</v>
      </c>
      <c r="C12" s="4" t="s">
        <v>65</v>
      </c>
      <c r="D12" s="5" t="s">
        <v>60</v>
      </c>
      <c r="E12" s="4" t="s">
        <v>79</v>
      </c>
      <c r="F12" s="18"/>
      <c r="G12" s="11" t="s">
        <v>199</v>
      </c>
      <c r="H12" s="4" t="s">
        <v>26</v>
      </c>
      <c r="J12" s="11" t="s">
        <v>91</v>
      </c>
      <c r="K12" s="14" t="s">
        <v>92</v>
      </c>
      <c r="L12" s="25">
        <v>4</v>
      </c>
    </row>
    <row r="13" spans="1:12" ht="23.25" customHeight="1" thickBot="1" x14ac:dyDescent="0.25">
      <c r="A13" s="3" t="s">
        <v>59</v>
      </c>
      <c r="B13" s="4" t="s">
        <v>83</v>
      </c>
      <c r="C13" s="18"/>
      <c r="D13" s="5" t="s">
        <v>59</v>
      </c>
      <c r="E13" s="4" t="s">
        <v>83</v>
      </c>
      <c r="F13" s="18"/>
      <c r="G13" s="21" t="s">
        <v>200</v>
      </c>
      <c r="H13" s="21"/>
      <c r="J13" s="11" t="s">
        <v>172</v>
      </c>
      <c r="K13" s="4" t="s">
        <v>165</v>
      </c>
    </row>
    <row r="14" spans="1:12" ht="12.75" thickBot="1" x14ac:dyDescent="0.25">
      <c r="A14" s="3" t="s">
        <v>85</v>
      </c>
      <c r="B14" s="4" t="s">
        <v>195</v>
      </c>
      <c r="C14" s="18"/>
      <c r="D14" s="5" t="s">
        <v>85</v>
      </c>
      <c r="E14" s="4" t="s">
        <v>196</v>
      </c>
      <c r="F14" s="18"/>
      <c r="G14" s="11" t="s">
        <v>60</v>
      </c>
      <c r="H14" s="14" t="str">
        <f>B12</f>
        <v>Speed of Track Circuit 1</v>
      </c>
      <c r="J14" s="11" t="s">
        <v>93</v>
      </c>
      <c r="K14" s="14" t="str">
        <f>B7</f>
        <v>05.01.01.01.5C.65.05.E0</v>
      </c>
    </row>
    <row r="15" spans="1:12" ht="24.75" thickBot="1" x14ac:dyDescent="0.25">
      <c r="A15" s="3" t="s">
        <v>39</v>
      </c>
      <c r="B15" s="4" t="s">
        <v>196</v>
      </c>
      <c r="C15" s="18"/>
      <c r="D15" s="5" t="s">
        <v>194</v>
      </c>
      <c r="E15" s="4" t="s">
        <v>195</v>
      </c>
      <c r="F15" s="18"/>
      <c r="G15" s="11" t="s">
        <v>59</v>
      </c>
      <c r="H15" s="4" t="s">
        <v>83</v>
      </c>
      <c r="J15" s="11" t="s">
        <v>94</v>
      </c>
      <c r="K15" s="14" t="s">
        <v>101</v>
      </c>
    </row>
    <row r="16" spans="1:12" ht="15" customHeight="1" thickBot="1" x14ac:dyDescent="0.25">
      <c r="A16" s="3" t="s">
        <v>38</v>
      </c>
      <c r="B16" s="4" t="s">
        <v>196</v>
      </c>
      <c r="C16" s="18"/>
      <c r="D16" s="5" t="s">
        <v>194</v>
      </c>
      <c r="E16" s="4" t="s">
        <v>195</v>
      </c>
      <c r="F16" s="18"/>
      <c r="G16" s="11" t="s">
        <v>201</v>
      </c>
      <c r="H16" s="4" t="s">
        <v>7</v>
      </c>
      <c r="J16" s="36" t="s">
        <v>188</v>
      </c>
      <c r="K16" s="36"/>
    </row>
    <row r="17" spans="1:11" ht="14.25" customHeight="1" thickBot="1" x14ac:dyDescent="0.25">
      <c r="A17" s="3" t="s">
        <v>40</v>
      </c>
      <c r="B17" s="4" t="s">
        <v>196</v>
      </c>
      <c r="C17" s="18"/>
      <c r="D17" s="5" t="s">
        <v>194</v>
      </c>
      <c r="E17" s="4" t="s">
        <v>195</v>
      </c>
      <c r="F17" s="18"/>
      <c r="G17" s="11" t="s">
        <v>61</v>
      </c>
      <c r="H17" s="14" t="str">
        <f>B19</f>
        <v>&lt;skip, not used&gt;</v>
      </c>
      <c r="J17" s="11" t="s">
        <v>95</v>
      </c>
      <c r="K17" s="4" t="s">
        <v>104</v>
      </c>
    </row>
    <row r="18" spans="1:11" ht="12.75" thickBot="1" x14ac:dyDescent="0.25">
      <c r="A18" s="3" t="s">
        <v>55</v>
      </c>
      <c r="B18" s="12" t="str" cm="1">
        <f t="array" ref="B18">IF(B12=INDEX(ConditionSources_List,1),GenerateEventID.GenerateEventID($B$2, MATCH(B16, Cards_Table[Cards],0)-1, MATCH(B15, CardTypes_Table[Card Types],0)-1,  MATCH(B17, Devices_Table[Devices],0)-1, FALSE), "&lt;skip, not used&gt;")</f>
        <v>&lt;skip, not used&gt;</v>
      </c>
      <c r="C18" s="18"/>
      <c r="D18" s="5" t="s">
        <v>55</v>
      </c>
      <c r="E18" s="12" t="str" cm="1">
        <f t="array" ref="E18">IF(E12=INDEX(ConditionSources_List,1),GenerateEventID.GenerateEventID($B$2, MATCH(E16, Cards_Table[Cards],0)-1, MATCH(E15, CardTypes_Table[Card Types],0)-1,  MATCH(E17, Devices_Table[Devices],0)-1, FALSE), "&lt;skip, not used&gt;")</f>
        <v>Waiting on selection</v>
      </c>
      <c r="F18" s="18"/>
      <c r="G18" s="11" t="s">
        <v>62</v>
      </c>
      <c r="H18" s="14" t="str">
        <f>B18</f>
        <v>&lt;skip, not used&gt;</v>
      </c>
      <c r="J18" s="11" t="s">
        <v>96</v>
      </c>
      <c r="K18" s="4" t="s">
        <v>0</v>
      </c>
    </row>
    <row r="19" spans="1:11" x14ac:dyDescent="0.2">
      <c r="A19" s="15" t="s">
        <v>45</v>
      </c>
      <c r="B19" s="16" t="str" cm="1">
        <f t="array" ref="B19">IF(B12=INDEX(ConditionSources_List,1),GenerateEventID.GenerateEventID($B$2, MATCH(B16, Cards_Table[Cards],0)-1, MATCH(B15, CardTypes_Table[Card Types],0)-1,  MATCH(B17, Devices_Table[Devices],0)-1, TRUE), "&lt;skip, not used&gt;")</f>
        <v>&lt;skip, not used&gt;</v>
      </c>
      <c r="C19" s="18"/>
      <c r="D19" s="17" t="s">
        <v>45</v>
      </c>
      <c r="E19" s="16" t="str" cm="1">
        <f t="array" ref="E19">IF(E12=INDEX(ConditionSources_List,1),GenerateEventID.GenerateEventID($B$2, MATCH(E16, Cards_Table[Cards],0)-1, MATCH(E15, CardTypes_Table[Card Types],0)-1,  MATCH(E17, Devices_Table[Devices],0)-1, TRUE), "&lt;skip, not used&gt;")</f>
        <v>Waiting on selection</v>
      </c>
      <c r="F19" s="18"/>
      <c r="G19" s="11" t="s">
        <v>162</v>
      </c>
      <c r="H19" s="14" t="str">
        <f>C12</f>
        <v>Condition 1 OR Condition 2</v>
      </c>
      <c r="J19" s="11" t="s">
        <v>97</v>
      </c>
      <c r="K19" s="4" t="s">
        <v>137</v>
      </c>
    </row>
    <row r="20" spans="1:11" x14ac:dyDescent="0.2">
      <c r="A20" s="18"/>
      <c r="B20" s="18"/>
      <c r="C20" s="18"/>
      <c r="D20" s="18"/>
      <c r="E20" s="18"/>
      <c r="F20" s="18"/>
      <c r="G20" s="21" t="s">
        <v>87</v>
      </c>
      <c r="H20" s="14"/>
      <c r="J20" s="11" t="s">
        <v>98</v>
      </c>
      <c r="K20" s="14" t="str">
        <f>B$8</f>
        <v>05.01.01.01.5C.65.05.00</v>
      </c>
    </row>
    <row r="21" spans="1:11" ht="12.75" thickBot="1" x14ac:dyDescent="0.25">
      <c r="A21" s="18"/>
      <c r="B21" s="18"/>
      <c r="C21" s="18"/>
      <c r="D21" s="18"/>
      <c r="E21" s="18"/>
      <c r="F21" s="18"/>
      <c r="G21" s="11" t="s">
        <v>60</v>
      </c>
      <c r="H21" s="14" t="str">
        <f>E12</f>
        <v>Event ID</v>
      </c>
      <c r="J21" s="36" t="s">
        <v>189</v>
      </c>
      <c r="K21" s="36"/>
    </row>
    <row r="22" spans="1:11" ht="15.75" customHeight="1" thickBot="1" x14ac:dyDescent="0.35">
      <c r="A22" s="28" t="s">
        <v>220</v>
      </c>
      <c r="B22" s="33" t="s">
        <v>221</v>
      </c>
      <c r="C22" s="33"/>
      <c r="D22" s="33"/>
      <c r="E22" s="33"/>
      <c r="F22" s="18"/>
      <c r="G22" s="11" t="s">
        <v>59</v>
      </c>
      <c r="H22" s="4" t="s">
        <v>83</v>
      </c>
      <c r="J22" s="11" t="s">
        <v>102</v>
      </c>
      <c r="K22" s="14" t="str">
        <f>B$6</f>
        <v>Lamp 2</v>
      </c>
    </row>
    <row r="23" spans="1:11" ht="14.25" customHeight="1" x14ac:dyDescent="0.2">
      <c r="A23" s="18"/>
      <c r="B23" s="18"/>
      <c r="C23" s="18"/>
      <c r="D23" s="18"/>
      <c r="E23" s="18"/>
      <c r="F23" s="18"/>
      <c r="G23" s="11" t="s">
        <v>201</v>
      </c>
      <c r="H23" s="4" t="s">
        <v>7</v>
      </c>
      <c r="J23" s="11" t="s">
        <v>99</v>
      </c>
      <c r="K23" s="14" t="s">
        <v>101</v>
      </c>
    </row>
    <row r="24" spans="1:11" x14ac:dyDescent="0.2">
      <c r="A24" s="18"/>
      <c r="B24" s="18"/>
      <c r="C24" s="18"/>
      <c r="D24" s="18"/>
      <c r="E24" s="18"/>
      <c r="F24" s="18"/>
      <c r="G24" s="11" t="s">
        <v>61</v>
      </c>
      <c r="H24" s="14" t="str">
        <f>E19</f>
        <v>Waiting on selection</v>
      </c>
      <c r="J24" s="11" t="s">
        <v>100</v>
      </c>
      <c r="K24" s="14" t="s">
        <v>101</v>
      </c>
    </row>
    <row r="25" spans="1:11" ht="14.25" customHeight="1" x14ac:dyDescent="0.2">
      <c r="A25" s="18"/>
      <c r="B25" s="18"/>
      <c r="C25" s="18"/>
      <c r="D25" s="18"/>
      <c r="E25" s="18"/>
      <c r="F25" s="18"/>
      <c r="G25" s="11" t="s">
        <v>62</v>
      </c>
      <c r="H25" s="14" t="str">
        <f>E18</f>
        <v>Waiting on selection</v>
      </c>
      <c r="J25" s="11" t="s">
        <v>173</v>
      </c>
      <c r="K25" s="14" t="s">
        <v>101</v>
      </c>
    </row>
    <row r="26" spans="1:11" ht="12.75" thickBot="1" x14ac:dyDescent="0.25">
      <c r="A26" s="18"/>
      <c r="B26" s="18"/>
      <c r="C26" s="18"/>
      <c r="D26" s="18"/>
      <c r="E26" s="18"/>
      <c r="F26" s="18"/>
      <c r="G26" s="18"/>
      <c r="H26" s="18"/>
      <c r="J26" s="24" t="s">
        <v>190</v>
      </c>
      <c r="K26" s="7"/>
    </row>
    <row r="27" spans="1:11" x14ac:dyDescent="0.2">
      <c r="A27" s="18"/>
      <c r="B27" s="18"/>
      <c r="C27" s="18"/>
      <c r="D27" s="18"/>
      <c r="E27" s="18"/>
      <c r="F27" s="18"/>
      <c r="G27" s="11" t="s">
        <v>202</v>
      </c>
      <c r="H27" s="4" t="s">
        <v>18</v>
      </c>
      <c r="J27" s="11" t="s">
        <v>95</v>
      </c>
      <c r="K27" s="4" t="s">
        <v>125</v>
      </c>
    </row>
    <row r="28" spans="1:11" x14ac:dyDescent="0.2">
      <c r="A28" s="18"/>
      <c r="B28" s="18"/>
      <c r="C28" s="18"/>
      <c r="D28" s="18"/>
      <c r="E28" s="18"/>
      <c r="F28" s="18"/>
      <c r="G28" s="11" t="s">
        <v>203</v>
      </c>
      <c r="H28" s="4" t="s">
        <v>18</v>
      </c>
      <c r="J28" s="11" t="s">
        <v>96</v>
      </c>
      <c r="K28" s="4" t="s">
        <v>4</v>
      </c>
    </row>
    <row r="29" spans="1:11" x14ac:dyDescent="0.2">
      <c r="A29" s="18"/>
      <c r="B29" s="18"/>
      <c r="C29" s="18"/>
      <c r="D29" s="18"/>
      <c r="E29" s="18"/>
      <c r="F29" s="18"/>
      <c r="G29" s="22" t="s">
        <v>88</v>
      </c>
      <c r="H29" s="22"/>
      <c r="J29" s="11" t="s">
        <v>97</v>
      </c>
      <c r="K29" s="4" t="s">
        <v>138</v>
      </c>
    </row>
    <row r="30" spans="1:11" x14ac:dyDescent="0.2">
      <c r="A30" s="18"/>
      <c r="B30" s="18"/>
      <c r="C30" s="18"/>
      <c r="D30" s="18"/>
      <c r="E30" s="18"/>
      <c r="F30" s="18"/>
      <c r="G30" s="11" t="s">
        <v>204</v>
      </c>
      <c r="H30" s="14" t="s">
        <v>101</v>
      </c>
      <c r="J30" s="11" t="s">
        <v>98</v>
      </c>
      <c r="K30" s="14" t="str">
        <f>D$8</f>
        <v>05.01.01.01.5C.65.05.03</v>
      </c>
    </row>
    <row r="31" spans="1:11" ht="15" customHeight="1" thickBot="1" x14ac:dyDescent="0.25">
      <c r="A31" s="18"/>
      <c r="B31" s="18"/>
      <c r="C31" s="18"/>
      <c r="D31" s="18"/>
      <c r="E31" s="18"/>
      <c r="F31" s="18"/>
      <c r="G31" s="11" t="s">
        <v>163</v>
      </c>
      <c r="H31" s="14" t="s">
        <v>101</v>
      </c>
      <c r="J31" s="36" t="s">
        <v>189</v>
      </c>
      <c r="K31" s="36"/>
    </row>
    <row r="32" spans="1:11" x14ac:dyDescent="0.2">
      <c r="A32" s="18"/>
      <c r="B32" s="18"/>
      <c r="C32" s="18"/>
      <c r="D32" s="18"/>
      <c r="E32" s="18"/>
      <c r="F32" s="18"/>
      <c r="G32" s="11" t="s">
        <v>164</v>
      </c>
      <c r="H32" s="14" t="s">
        <v>101</v>
      </c>
      <c r="J32" s="11" t="s">
        <v>102</v>
      </c>
      <c r="K32" s="14" t="str">
        <f>D$6</f>
        <v>Lamp 2</v>
      </c>
    </row>
    <row r="33" spans="1:11" x14ac:dyDescent="0.2">
      <c r="A33" s="18"/>
      <c r="B33" s="18"/>
      <c r="C33" s="18"/>
      <c r="D33" s="18"/>
      <c r="E33" s="18"/>
      <c r="F33" s="18"/>
      <c r="G33" s="22" t="s">
        <v>205</v>
      </c>
      <c r="H33" s="22"/>
      <c r="J33" s="11" t="s">
        <v>99</v>
      </c>
      <c r="K33" s="14" t="s">
        <v>101</v>
      </c>
    </row>
    <row r="34" spans="1:11" x14ac:dyDescent="0.2">
      <c r="A34" s="18"/>
      <c r="B34" s="18"/>
      <c r="C34" s="18"/>
      <c r="D34" s="18"/>
      <c r="E34" s="18"/>
      <c r="F34" s="18"/>
      <c r="G34" s="23" t="s">
        <v>166</v>
      </c>
      <c r="H34" s="23"/>
      <c r="J34" s="11" t="s">
        <v>100</v>
      </c>
      <c r="K34" s="14" t="s">
        <v>101</v>
      </c>
    </row>
    <row r="35" spans="1:11" x14ac:dyDescent="0.2">
      <c r="A35" s="18"/>
      <c r="B35" s="18"/>
      <c r="C35" s="18"/>
      <c r="D35" s="18"/>
      <c r="E35" s="18"/>
      <c r="F35" s="18"/>
      <c r="G35" s="11" t="s">
        <v>89</v>
      </c>
      <c r="H35" s="4" t="s">
        <v>11</v>
      </c>
      <c r="J35" s="11" t="s">
        <v>173</v>
      </c>
      <c r="K35" s="14" t="s">
        <v>101</v>
      </c>
    </row>
    <row r="36" spans="1:11" ht="12.75" thickBot="1" x14ac:dyDescent="0.25">
      <c r="A36" s="18"/>
      <c r="B36" s="18"/>
      <c r="C36" s="18"/>
      <c r="D36" s="18"/>
      <c r="E36" s="18"/>
      <c r="F36" s="18"/>
      <c r="G36" s="11" t="s">
        <v>90</v>
      </c>
      <c r="H36" s="14" t="s">
        <v>212</v>
      </c>
      <c r="J36" s="36" t="s">
        <v>191</v>
      </c>
      <c r="K36" s="36"/>
    </row>
    <row r="37" spans="1:11" ht="15" customHeight="1" x14ac:dyDescent="0.2">
      <c r="A37" s="18" t="s">
        <v>223</v>
      </c>
      <c r="B37" s="18"/>
      <c r="C37" s="18"/>
      <c r="D37" s="18"/>
      <c r="E37" s="18"/>
      <c r="F37" s="18"/>
      <c r="G37" s="18"/>
      <c r="H37" s="18"/>
      <c r="J37" s="11" t="s">
        <v>95</v>
      </c>
      <c r="K37" s="4" t="s">
        <v>133</v>
      </c>
    </row>
    <row r="38" spans="1:11" ht="17.25" customHeight="1" thickBot="1" x14ac:dyDescent="0.35">
      <c r="A38" s="29" t="s">
        <v>225</v>
      </c>
      <c r="B38" s="39" t="s">
        <v>86</v>
      </c>
      <c r="C38" s="39"/>
      <c r="D38" s="39"/>
      <c r="E38" s="39"/>
      <c r="F38" s="39"/>
      <c r="G38" s="39" t="s">
        <v>206</v>
      </c>
      <c r="H38" s="39"/>
      <c r="J38" s="6" t="s">
        <v>224</v>
      </c>
    </row>
    <row r="39" spans="1:11" ht="17.25" customHeight="1" thickBot="1" x14ac:dyDescent="0.25">
      <c r="A39" s="40" t="s">
        <v>57</v>
      </c>
      <c r="B39" s="40"/>
      <c r="C39" s="41" t="s">
        <v>214</v>
      </c>
      <c r="D39" s="40" t="s">
        <v>58</v>
      </c>
      <c r="E39" s="40"/>
      <c r="F39" s="18"/>
      <c r="G39" s="11" t="s">
        <v>56</v>
      </c>
      <c r="H39" s="4" t="s">
        <v>165</v>
      </c>
      <c r="J39" s="6" t="s">
        <v>224</v>
      </c>
    </row>
    <row r="40" spans="1:11" ht="17.25" customHeight="1" thickBot="1" x14ac:dyDescent="0.25">
      <c r="A40" s="3" t="s">
        <v>60</v>
      </c>
      <c r="B40" s="4" t="s">
        <v>72</v>
      </c>
      <c r="C40" s="4" t="s">
        <v>65</v>
      </c>
      <c r="D40" s="5" t="s">
        <v>60</v>
      </c>
      <c r="E40" s="4" t="s">
        <v>79</v>
      </c>
      <c r="F40" s="18"/>
      <c r="G40" s="11" t="s">
        <v>199</v>
      </c>
      <c r="H40" s="4" t="s">
        <v>26</v>
      </c>
      <c r="J40" s="6" t="s">
        <v>224</v>
      </c>
    </row>
    <row r="41" spans="1:11" ht="23.25" customHeight="1" thickBot="1" x14ac:dyDescent="0.25">
      <c r="A41" s="3" t="s">
        <v>59</v>
      </c>
      <c r="B41" s="4" t="s">
        <v>83</v>
      </c>
      <c r="C41" s="18"/>
      <c r="D41" s="5" t="s">
        <v>59</v>
      </c>
      <c r="E41" s="4" t="s">
        <v>83</v>
      </c>
      <c r="F41" s="18"/>
      <c r="G41" s="21" t="s">
        <v>200</v>
      </c>
      <c r="H41" s="21"/>
      <c r="J41" s="6" t="s">
        <v>224</v>
      </c>
    </row>
    <row r="42" spans="1:11" ht="12.75" customHeight="1" thickBot="1" x14ac:dyDescent="0.25">
      <c r="A42" s="3" t="s">
        <v>85</v>
      </c>
      <c r="B42" s="4" t="s">
        <v>195</v>
      </c>
      <c r="C42" s="18"/>
      <c r="D42" s="5" t="s">
        <v>85</v>
      </c>
      <c r="E42" s="4" t="s">
        <v>196</v>
      </c>
      <c r="F42" s="18"/>
      <c r="G42" s="11" t="s">
        <v>60</v>
      </c>
      <c r="H42" s="14" t="str">
        <f>B40</f>
        <v>Speed of Track Circuit 2</v>
      </c>
      <c r="J42" s="6" t="s">
        <v>224</v>
      </c>
    </row>
    <row r="43" spans="1:11" ht="24.75" customHeight="1" thickBot="1" x14ac:dyDescent="0.25">
      <c r="A43" s="3" t="s">
        <v>39</v>
      </c>
      <c r="B43" s="4" t="s">
        <v>196</v>
      </c>
      <c r="C43" s="18"/>
      <c r="D43" s="5" t="s">
        <v>194</v>
      </c>
      <c r="E43" s="4" t="s">
        <v>195</v>
      </c>
      <c r="F43" s="18"/>
      <c r="G43" s="11" t="s">
        <v>59</v>
      </c>
      <c r="H43" s="4" t="s">
        <v>83</v>
      </c>
      <c r="J43" s="6" t="s">
        <v>224</v>
      </c>
    </row>
    <row r="44" spans="1:11" ht="15" customHeight="1" thickBot="1" x14ac:dyDescent="0.25">
      <c r="A44" s="3" t="s">
        <v>38</v>
      </c>
      <c r="B44" s="4" t="s">
        <v>196</v>
      </c>
      <c r="C44" s="18"/>
      <c r="D44" s="5" t="s">
        <v>194</v>
      </c>
      <c r="E44" s="4" t="s">
        <v>195</v>
      </c>
      <c r="F44" s="18"/>
      <c r="G44" s="11" t="s">
        <v>201</v>
      </c>
      <c r="H44" s="4" t="s">
        <v>7</v>
      </c>
      <c r="J44" s="6" t="s">
        <v>224</v>
      </c>
    </row>
    <row r="45" spans="1:11" ht="14.25" customHeight="1" thickBot="1" x14ac:dyDescent="0.25">
      <c r="A45" s="3" t="s">
        <v>40</v>
      </c>
      <c r="B45" s="4" t="s">
        <v>196</v>
      </c>
      <c r="C45" s="18"/>
      <c r="D45" s="5" t="s">
        <v>194</v>
      </c>
      <c r="E45" s="4" t="s">
        <v>195</v>
      </c>
      <c r="F45" s="18"/>
      <c r="G45" s="11" t="s">
        <v>61</v>
      </c>
      <c r="H45" s="14" t="str">
        <f>B47</f>
        <v>&lt;skip, not used&gt;</v>
      </c>
      <c r="J45" s="6" t="s">
        <v>224</v>
      </c>
    </row>
    <row r="46" spans="1:11" ht="12.75" customHeight="1" thickBot="1" x14ac:dyDescent="0.25">
      <c r="A46" s="3" t="s">
        <v>55</v>
      </c>
      <c r="B46" s="12" t="str" cm="1">
        <f t="array" ref="B46">IF(B40=INDEX(ConditionSources_List,1),GenerateEventID.GenerateEventID($B$2, MATCH(B44, Cards_Table[Cards],0)-1, MATCH(B43, CardTypes_Table[Card Types],0)-1,  MATCH(B45, Devices_Table[Devices],0)-1, FALSE), "&lt;skip, not used&gt;")</f>
        <v>&lt;skip, not used&gt;</v>
      </c>
      <c r="C46" s="18"/>
      <c r="D46" s="5" t="s">
        <v>55</v>
      </c>
      <c r="E46" s="12" t="str" cm="1">
        <f t="array" ref="E46">IF(E40=INDEX(ConditionSources_List,1),GenerateEventID.GenerateEventID($B$2, MATCH(E44, Cards_Table[Cards],0)-1, MATCH(E43, CardTypes_Table[Card Types],0)-1,  MATCH(E45, Devices_Table[Devices],0)-1, FALSE), "&lt;skip, not used&gt;")</f>
        <v>Waiting on selection</v>
      </c>
      <c r="F46" s="18"/>
      <c r="G46" s="11" t="s">
        <v>62</v>
      </c>
      <c r="H46" s="14" t="str">
        <f>B46</f>
        <v>&lt;skip, not used&gt;</v>
      </c>
      <c r="J46" s="6" t="s">
        <v>224</v>
      </c>
    </row>
    <row r="47" spans="1:11" ht="12" customHeight="1" x14ac:dyDescent="0.2">
      <c r="A47" s="15" t="s">
        <v>45</v>
      </c>
      <c r="B47" s="16" t="str" cm="1">
        <f t="array" ref="B47">IF(B40=INDEX(ConditionSources_List,1),GenerateEventID.GenerateEventID($B$2, MATCH(B44, Cards_Table[Cards],0)-1, MATCH(B43, CardTypes_Table[Card Types],0)-1,  MATCH(B45, Devices_Table[Devices],0)-1, TRUE), "&lt;skip, not used&gt;")</f>
        <v>&lt;skip, not used&gt;</v>
      </c>
      <c r="C47" s="18"/>
      <c r="D47" s="17" t="s">
        <v>45</v>
      </c>
      <c r="E47" s="16" t="str" cm="1">
        <f t="array" ref="E47">IF(E40=INDEX(ConditionSources_List,1),GenerateEventID.GenerateEventID($B$2, MATCH(E44, Cards_Table[Cards],0)-1, MATCH(E43, CardTypes_Table[Card Types],0)-1,  MATCH(E45, Devices_Table[Devices],0)-1, TRUE), "&lt;skip, not used&gt;")</f>
        <v>Waiting on selection</v>
      </c>
      <c r="F47" s="18"/>
      <c r="G47" s="11" t="s">
        <v>162</v>
      </c>
      <c r="H47" s="14" t="str">
        <f>C40</f>
        <v>Condition 1 OR Condition 2</v>
      </c>
      <c r="J47" s="6" t="s">
        <v>224</v>
      </c>
    </row>
    <row r="48" spans="1:11" ht="12" customHeight="1" x14ac:dyDescent="0.2">
      <c r="A48" s="18"/>
      <c r="B48" s="18"/>
      <c r="C48" s="18"/>
      <c r="D48" s="18"/>
      <c r="E48" s="18"/>
      <c r="F48" s="18"/>
      <c r="G48" s="21" t="s">
        <v>87</v>
      </c>
      <c r="H48" s="14"/>
      <c r="J48" s="6" t="s">
        <v>224</v>
      </c>
    </row>
    <row r="49" spans="1:10" ht="12.75" customHeight="1" x14ac:dyDescent="0.2">
      <c r="A49" s="18"/>
      <c r="B49" s="18"/>
      <c r="C49" s="18"/>
      <c r="D49" s="18"/>
      <c r="E49" s="18"/>
      <c r="F49" s="18"/>
      <c r="G49" s="11" t="s">
        <v>60</v>
      </c>
      <c r="H49" s="14" t="str">
        <f>E40</f>
        <v>Event ID</v>
      </c>
      <c r="J49" s="6" t="s">
        <v>224</v>
      </c>
    </row>
    <row r="50" spans="1:10" ht="15.75" customHeight="1" thickBot="1" x14ac:dyDescent="0.35">
      <c r="A50" s="28" t="s">
        <v>220</v>
      </c>
      <c r="B50" s="33" t="s">
        <v>221</v>
      </c>
      <c r="C50" s="33"/>
      <c r="D50" s="33"/>
      <c r="E50" s="33"/>
      <c r="F50" s="18"/>
      <c r="G50" s="11" t="s">
        <v>59</v>
      </c>
      <c r="H50" s="4" t="s">
        <v>83</v>
      </c>
      <c r="J50" s="6" t="s">
        <v>224</v>
      </c>
    </row>
    <row r="51" spans="1:10" ht="14.25" customHeight="1" x14ac:dyDescent="0.2">
      <c r="A51" s="18"/>
      <c r="B51" s="18"/>
      <c r="C51" s="18"/>
      <c r="D51" s="18"/>
      <c r="E51" s="18"/>
      <c r="F51" s="18"/>
      <c r="G51" s="11" t="s">
        <v>201</v>
      </c>
      <c r="H51" s="4" t="s">
        <v>7</v>
      </c>
      <c r="J51" s="6" t="s">
        <v>224</v>
      </c>
    </row>
    <row r="52" spans="1:10" ht="12" customHeight="1" x14ac:dyDescent="0.2">
      <c r="A52" s="18"/>
      <c r="B52" s="18"/>
      <c r="C52" s="18"/>
      <c r="D52" s="18"/>
      <c r="E52" s="18"/>
      <c r="F52" s="18"/>
      <c r="G52" s="11" t="s">
        <v>61</v>
      </c>
      <c r="H52" s="14" t="str">
        <f>E47</f>
        <v>Waiting on selection</v>
      </c>
      <c r="J52" s="6" t="s">
        <v>224</v>
      </c>
    </row>
    <row r="53" spans="1:10" ht="14.25" customHeight="1" x14ac:dyDescent="0.2">
      <c r="A53" s="18"/>
      <c r="B53" s="18"/>
      <c r="C53" s="18"/>
      <c r="D53" s="18"/>
      <c r="E53" s="18"/>
      <c r="F53" s="18"/>
      <c r="G53" s="11" t="s">
        <v>62</v>
      </c>
      <c r="H53" s="14" t="str">
        <f>E46</f>
        <v>Waiting on selection</v>
      </c>
      <c r="J53" s="6" t="s">
        <v>224</v>
      </c>
    </row>
    <row r="54" spans="1:10" ht="12.75" customHeight="1" x14ac:dyDescent="0.2">
      <c r="A54" s="18"/>
      <c r="B54" s="18"/>
      <c r="C54" s="18"/>
      <c r="D54" s="18"/>
      <c r="E54" s="18"/>
      <c r="F54" s="18"/>
      <c r="G54" s="18"/>
      <c r="H54" s="18"/>
      <c r="J54" s="6" t="s">
        <v>224</v>
      </c>
    </row>
    <row r="55" spans="1:10" ht="12" customHeight="1" x14ac:dyDescent="0.2">
      <c r="A55" s="18"/>
      <c r="B55" s="18"/>
      <c r="C55" s="18"/>
      <c r="D55" s="18"/>
      <c r="E55" s="18"/>
      <c r="F55" s="18"/>
      <c r="G55" s="11" t="s">
        <v>202</v>
      </c>
      <c r="H55" s="4" t="s">
        <v>18</v>
      </c>
      <c r="J55" s="6" t="s">
        <v>224</v>
      </c>
    </row>
    <row r="56" spans="1:10" ht="12" customHeight="1" x14ac:dyDescent="0.2">
      <c r="A56" s="18"/>
      <c r="B56" s="18"/>
      <c r="C56" s="18"/>
      <c r="D56" s="18"/>
      <c r="E56" s="18"/>
      <c r="F56" s="18"/>
      <c r="G56" s="11" t="s">
        <v>203</v>
      </c>
      <c r="H56" s="4" t="s">
        <v>18</v>
      </c>
      <c r="J56" s="6" t="s">
        <v>224</v>
      </c>
    </row>
    <row r="57" spans="1:10" ht="12" customHeight="1" x14ac:dyDescent="0.2">
      <c r="A57" s="18"/>
      <c r="B57" s="18"/>
      <c r="C57" s="18"/>
      <c r="D57" s="18"/>
      <c r="E57" s="18"/>
      <c r="F57" s="18"/>
      <c r="G57" s="22" t="s">
        <v>88</v>
      </c>
      <c r="H57" s="22"/>
      <c r="J57" s="6" t="s">
        <v>224</v>
      </c>
    </row>
    <row r="58" spans="1:10" ht="12" customHeight="1" x14ac:dyDescent="0.2">
      <c r="A58" s="18"/>
      <c r="B58" s="18"/>
      <c r="C58" s="18"/>
      <c r="D58" s="18"/>
      <c r="E58" s="18"/>
      <c r="F58" s="18"/>
      <c r="G58" s="11" t="s">
        <v>204</v>
      </c>
      <c r="H58" s="14" t="s">
        <v>101</v>
      </c>
      <c r="J58" s="6" t="s">
        <v>224</v>
      </c>
    </row>
    <row r="59" spans="1:10" ht="15" customHeight="1" x14ac:dyDescent="0.2">
      <c r="A59" s="18"/>
      <c r="B59" s="18"/>
      <c r="C59" s="18"/>
      <c r="D59" s="18"/>
      <c r="E59" s="18"/>
      <c r="F59" s="18"/>
      <c r="G59" s="11" t="s">
        <v>163</v>
      </c>
      <c r="H59" s="14" t="s">
        <v>101</v>
      </c>
      <c r="J59" s="6" t="s">
        <v>224</v>
      </c>
    </row>
    <row r="60" spans="1:10" ht="12" customHeight="1" x14ac:dyDescent="0.2">
      <c r="A60" s="18"/>
      <c r="B60" s="18"/>
      <c r="C60" s="18"/>
      <c r="D60" s="18"/>
      <c r="E60" s="18"/>
      <c r="F60" s="18"/>
      <c r="G60" s="11" t="s">
        <v>164</v>
      </c>
      <c r="H60" s="14" t="s">
        <v>101</v>
      </c>
      <c r="J60" s="6" t="s">
        <v>224</v>
      </c>
    </row>
    <row r="61" spans="1:10" ht="12" customHeight="1" x14ac:dyDescent="0.2">
      <c r="A61" s="18"/>
      <c r="B61" s="18"/>
      <c r="C61" s="18"/>
      <c r="D61" s="18"/>
      <c r="E61" s="18"/>
      <c r="F61" s="18"/>
      <c r="G61" s="22" t="s">
        <v>205</v>
      </c>
      <c r="H61" s="22"/>
      <c r="J61" s="6" t="s">
        <v>224</v>
      </c>
    </row>
    <row r="62" spans="1:10" ht="12" customHeight="1" x14ac:dyDescent="0.2">
      <c r="A62" s="18"/>
      <c r="B62" s="18"/>
      <c r="C62" s="18"/>
      <c r="D62" s="18"/>
      <c r="E62" s="18"/>
      <c r="F62" s="18"/>
      <c r="G62" s="23" t="s">
        <v>166</v>
      </c>
      <c r="H62" s="23"/>
      <c r="J62" s="6" t="s">
        <v>224</v>
      </c>
    </row>
    <row r="63" spans="1:10" ht="12" customHeight="1" x14ac:dyDescent="0.2">
      <c r="A63" s="18"/>
      <c r="B63" s="18"/>
      <c r="C63" s="18"/>
      <c r="D63" s="18"/>
      <c r="E63" s="18"/>
      <c r="F63" s="18"/>
      <c r="G63" s="11" t="s">
        <v>89</v>
      </c>
      <c r="H63" s="4" t="s">
        <v>11</v>
      </c>
      <c r="J63" s="6" t="s">
        <v>224</v>
      </c>
    </row>
    <row r="64" spans="1:10" ht="12.75" customHeight="1" x14ac:dyDescent="0.2">
      <c r="A64" s="18"/>
      <c r="B64" s="18"/>
      <c r="C64" s="18"/>
      <c r="D64" s="18"/>
      <c r="E64" s="18"/>
      <c r="F64" s="18"/>
      <c r="G64" s="11" t="s">
        <v>90</v>
      </c>
      <c r="H64" s="14" t="s">
        <v>212</v>
      </c>
      <c r="J64" s="6" t="s">
        <v>224</v>
      </c>
    </row>
    <row r="65" spans="1:10" ht="15" customHeight="1" x14ac:dyDescent="0.2">
      <c r="A65" s="18" t="s">
        <v>223</v>
      </c>
      <c r="B65" s="18"/>
      <c r="C65" s="18"/>
      <c r="D65" s="18"/>
      <c r="E65" s="18"/>
      <c r="F65" s="18"/>
      <c r="G65" s="18"/>
      <c r="H65" s="18"/>
      <c r="J65" s="6" t="s">
        <v>224</v>
      </c>
    </row>
    <row r="66" spans="1:10" ht="17.25" customHeight="1" thickBot="1" x14ac:dyDescent="0.35">
      <c r="A66" s="29" t="s">
        <v>226</v>
      </c>
      <c r="B66" s="39" t="s">
        <v>86</v>
      </c>
      <c r="C66" s="39"/>
      <c r="D66" s="39"/>
      <c r="E66" s="39"/>
      <c r="F66" s="39"/>
      <c r="G66" s="39" t="s">
        <v>206</v>
      </c>
      <c r="H66" s="39"/>
    </row>
    <row r="67" spans="1:10" ht="17.25" customHeight="1" thickBot="1" x14ac:dyDescent="0.25">
      <c r="A67" s="40" t="s">
        <v>57</v>
      </c>
      <c r="B67" s="40"/>
      <c r="C67" s="41" t="s">
        <v>214</v>
      </c>
      <c r="D67" s="40" t="s">
        <v>58</v>
      </c>
      <c r="E67" s="40"/>
      <c r="F67" s="18"/>
      <c r="G67" s="11" t="s">
        <v>56</v>
      </c>
      <c r="H67" s="4" t="s">
        <v>165</v>
      </c>
    </row>
    <row r="68" spans="1:10" ht="17.25" customHeight="1" thickBot="1" x14ac:dyDescent="0.25">
      <c r="A68" s="3" t="s">
        <v>60</v>
      </c>
      <c r="B68" s="4" t="s">
        <v>73</v>
      </c>
      <c r="C68" s="4" t="s">
        <v>65</v>
      </c>
      <c r="D68" s="5" t="s">
        <v>60</v>
      </c>
      <c r="E68" s="4" t="s">
        <v>79</v>
      </c>
      <c r="F68" s="18"/>
      <c r="G68" s="11" t="s">
        <v>199</v>
      </c>
      <c r="H68" s="4" t="s">
        <v>26</v>
      </c>
    </row>
    <row r="69" spans="1:10" ht="23.25" customHeight="1" thickBot="1" x14ac:dyDescent="0.25">
      <c r="A69" s="3" t="s">
        <v>59</v>
      </c>
      <c r="B69" s="4" t="s">
        <v>83</v>
      </c>
      <c r="C69" s="18"/>
      <c r="D69" s="5" t="s">
        <v>59</v>
      </c>
      <c r="E69" s="4" t="s">
        <v>83</v>
      </c>
      <c r="F69" s="18"/>
      <c r="G69" s="21" t="s">
        <v>200</v>
      </c>
      <c r="H69" s="21"/>
    </row>
    <row r="70" spans="1:10" ht="12.75" customHeight="1" thickBot="1" x14ac:dyDescent="0.25">
      <c r="A70" s="3" t="s">
        <v>85</v>
      </c>
      <c r="B70" s="4" t="s">
        <v>195</v>
      </c>
      <c r="C70" s="18"/>
      <c r="D70" s="5" t="s">
        <v>85</v>
      </c>
      <c r="E70" s="4" t="s">
        <v>196</v>
      </c>
      <c r="F70" s="18"/>
      <c r="G70" s="11" t="s">
        <v>60</v>
      </c>
      <c r="H70" s="14" t="str">
        <f>B68</f>
        <v>Speed of Track Circuit 3</v>
      </c>
    </row>
    <row r="71" spans="1:10" ht="24.75" customHeight="1" thickBot="1" x14ac:dyDescent="0.25">
      <c r="A71" s="3" t="s">
        <v>39</v>
      </c>
      <c r="B71" s="4" t="s">
        <v>196</v>
      </c>
      <c r="C71" s="18"/>
      <c r="D71" s="5" t="s">
        <v>194</v>
      </c>
      <c r="E71" s="4" t="s">
        <v>195</v>
      </c>
      <c r="F71" s="18"/>
      <c r="G71" s="11" t="s">
        <v>59</v>
      </c>
      <c r="H71" s="4" t="s">
        <v>83</v>
      </c>
    </row>
    <row r="72" spans="1:10" ht="15" customHeight="1" thickBot="1" x14ac:dyDescent="0.25">
      <c r="A72" s="3" t="s">
        <v>38</v>
      </c>
      <c r="B72" s="4" t="s">
        <v>196</v>
      </c>
      <c r="C72" s="18"/>
      <c r="D72" s="5" t="s">
        <v>194</v>
      </c>
      <c r="E72" s="4" t="s">
        <v>195</v>
      </c>
      <c r="F72" s="18"/>
      <c r="G72" s="11" t="s">
        <v>201</v>
      </c>
      <c r="H72" s="4" t="s">
        <v>7</v>
      </c>
    </row>
    <row r="73" spans="1:10" ht="14.25" customHeight="1" thickBot="1" x14ac:dyDescent="0.25">
      <c r="A73" s="3" t="s">
        <v>40</v>
      </c>
      <c r="B73" s="4" t="s">
        <v>196</v>
      </c>
      <c r="C73" s="18"/>
      <c r="D73" s="5" t="s">
        <v>194</v>
      </c>
      <c r="E73" s="4" t="s">
        <v>195</v>
      </c>
      <c r="F73" s="18"/>
      <c r="G73" s="11" t="s">
        <v>61</v>
      </c>
      <c r="H73" s="14" t="str">
        <f>B75</f>
        <v>&lt;skip, not used&gt;</v>
      </c>
    </row>
    <row r="74" spans="1:10" ht="12.75" customHeight="1" thickBot="1" x14ac:dyDescent="0.25">
      <c r="A74" s="3" t="s">
        <v>55</v>
      </c>
      <c r="B74" s="12" t="str" cm="1">
        <f t="array" ref="B74">IF(B68=INDEX(ConditionSources_List,1),GenerateEventID.GenerateEventID($B$2, MATCH(B72, Cards_Table[Cards],0)-1, MATCH(B71, CardTypes_Table[Card Types],0)-1,  MATCH(B73, Devices_Table[Devices],0)-1, FALSE), "&lt;skip, not used&gt;")</f>
        <v>&lt;skip, not used&gt;</v>
      </c>
      <c r="C74" s="18"/>
      <c r="D74" s="5" t="s">
        <v>55</v>
      </c>
      <c r="E74" s="12" t="str" cm="1">
        <f t="array" ref="E74">IF(E68=INDEX(ConditionSources_List,1),GenerateEventID.GenerateEventID($B$2, MATCH(E72, Cards_Table[Cards],0)-1, MATCH(E71, CardTypes_Table[Card Types],0)-1,  MATCH(E73, Devices_Table[Devices],0)-1, FALSE), "&lt;skip, not used&gt;")</f>
        <v>Waiting on selection</v>
      </c>
      <c r="F74" s="18"/>
      <c r="G74" s="11" t="s">
        <v>62</v>
      </c>
      <c r="H74" s="14" t="str">
        <f>B74</f>
        <v>&lt;skip, not used&gt;</v>
      </c>
    </row>
    <row r="75" spans="1:10" ht="12" customHeight="1" x14ac:dyDescent="0.2">
      <c r="A75" s="15" t="s">
        <v>45</v>
      </c>
      <c r="B75" s="16" t="str" cm="1">
        <f t="array" ref="B75">IF(B68=INDEX(ConditionSources_List,1),GenerateEventID.GenerateEventID($B$2, MATCH(B72, Cards_Table[Cards],0)-1, MATCH(B71, CardTypes_Table[Card Types],0)-1,  MATCH(B73, Devices_Table[Devices],0)-1, TRUE), "&lt;skip, not used&gt;")</f>
        <v>&lt;skip, not used&gt;</v>
      </c>
      <c r="C75" s="18"/>
      <c r="D75" s="17" t="s">
        <v>45</v>
      </c>
      <c r="E75" s="16" t="str" cm="1">
        <f t="array" ref="E75">IF(E68=INDEX(ConditionSources_List,1),GenerateEventID.GenerateEventID($B$2, MATCH(E72, Cards_Table[Cards],0)-1, MATCH(E71, CardTypes_Table[Card Types],0)-1,  MATCH(E73, Devices_Table[Devices],0)-1, TRUE), "&lt;skip, not used&gt;")</f>
        <v>Waiting on selection</v>
      </c>
      <c r="F75" s="18"/>
      <c r="G75" s="11" t="s">
        <v>162</v>
      </c>
      <c r="H75" s="14" t="str">
        <f>C68</f>
        <v>Condition 1 OR Condition 2</v>
      </c>
    </row>
    <row r="76" spans="1:10" ht="12" customHeight="1" x14ac:dyDescent="0.2">
      <c r="A76" s="18"/>
      <c r="B76" s="18"/>
      <c r="C76" s="18"/>
      <c r="D76" s="18"/>
      <c r="E76" s="18"/>
      <c r="F76" s="18"/>
      <c r="G76" s="21" t="s">
        <v>87</v>
      </c>
      <c r="H76" s="14"/>
    </row>
    <row r="77" spans="1:10" ht="12.75" customHeight="1" x14ac:dyDescent="0.2">
      <c r="A77" s="18"/>
      <c r="B77" s="18"/>
      <c r="C77" s="18"/>
      <c r="D77" s="18"/>
      <c r="E77" s="18"/>
      <c r="F77" s="18"/>
      <c r="G77" s="11" t="s">
        <v>60</v>
      </c>
      <c r="H77" s="14" t="str">
        <f>E68</f>
        <v>Event ID</v>
      </c>
    </row>
    <row r="78" spans="1:10" ht="15.75" customHeight="1" thickBot="1" x14ac:dyDescent="0.35">
      <c r="A78" s="28" t="s">
        <v>220</v>
      </c>
      <c r="B78" s="33" t="s">
        <v>221</v>
      </c>
      <c r="C78" s="33"/>
      <c r="D78" s="33"/>
      <c r="E78" s="33"/>
      <c r="F78" s="18"/>
      <c r="G78" s="11" t="s">
        <v>59</v>
      </c>
      <c r="H78" s="4" t="s">
        <v>83</v>
      </c>
    </row>
    <row r="79" spans="1:10" ht="14.25" customHeight="1" x14ac:dyDescent="0.2">
      <c r="A79" s="18"/>
      <c r="B79" s="18"/>
      <c r="C79" s="18"/>
      <c r="D79" s="18"/>
      <c r="E79" s="18"/>
      <c r="F79" s="18"/>
      <c r="G79" s="11" t="s">
        <v>201</v>
      </c>
      <c r="H79" s="4" t="s">
        <v>7</v>
      </c>
    </row>
    <row r="80" spans="1:10" ht="12" customHeight="1" x14ac:dyDescent="0.2">
      <c r="A80" s="18"/>
      <c r="B80" s="18"/>
      <c r="C80" s="18"/>
      <c r="D80" s="18"/>
      <c r="E80" s="18"/>
      <c r="F80" s="18"/>
      <c r="G80" s="11" t="s">
        <v>61</v>
      </c>
      <c r="H80" s="14" t="str">
        <f>E75</f>
        <v>Waiting on selection</v>
      </c>
    </row>
    <row r="81" spans="1:8" ht="14.25" customHeight="1" x14ac:dyDescent="0.2">
      <c r="A81" s="18"/>
      <c r="B81" s="18"/>
      <c r="C81" s="18"/>
      <c r="D81" s="18"/>
      <c r="E81" s="18"/>
      <c r="F81" s="18"/>
      <c r="G81" s="11" t="s">
        <v>62</v>
      </c>
      <c r="H81" s="14" t="str">
        <f>E74</f>
        <v>Waiting on selection</v>
      </c>
    </row>
    <row r="82" spans="1:8" ht="12.75" customHeight="1" x14ac:dyDescent="0.2">
      <c r="A82" s="18"/>
      <c r="B82" s="18"/>
      <c r="C82" s="18"/>
      <c r="D82" s="18"/>
      <c r="E82" s="18"/>
      <c r="F82" s="18"/>
      <c r="G82" s="18"/>
      <c r="H82" s="18"/>
    </row>
    <row r="83" spans="1:8" ht="12" customHeight="1" x14ac:dyDescent="0.2">
      <c r="A83" s="18"/>
      <c r="B83" s="18"/>
      <c r="C83" s="18"/>
      <c r="D83" s="18"/>
      <c r="E83" s="18"/>
      <c r="F83" s="18"/>
      <c r="G83" s="11" t="s">
        <v>202</v>
      </c>
      <c r="H83" s="4" t="s">
        <v>18</v>
      </c>
    </row>
    <row r="84" spans="1:8" ht="12" customHeight="1" x14ac:dyDescent="0.2">
      <c r="A84" s="18"/>
      <c r="B84" s="18"/>
      <c r="C84" s="18"/>
      <c r="D84" s="18"/>
      <c r="E84" s="18"/>
      <c r="F84" s="18"/>
      <c r="G84" s="11" t="s">
        <v>203</v>
      </c>
      <c r="H84" s="4" t="s">
        <v>18</v>
      </c>
    </row>
    <row r="85" spans="1:8" ht="12" customHeight="1" x14ac:dyDescent="0.2">
      <c r="A85" s="18"/>
      <c r="B85" s="18"/>
      <c r="C85" s="18"/>
      <c r="D85" s="18"/>
      <c r="E85" s="18"/>
      <c r="F85" s="18"/>
      <c r="G85" s="22" t="s">
        <v>88</v>
      </c>
      <c r="H85" s="22"/>
    </row>
    <row r="86" spans="1:8" ht="12" customHeight="1" x14ac:dyDescent="0.2">
      <c r="A86" s="18"/>
      <c r="B86" s="18"/>
      <c r="C86" s="18"/>
      <c r="D86" s="18"/>
      <c r="E86" s="18"/>
      <c r="F86" s="18"/>
      <c r="G86" s="11" t="s">
        <v>204</v>
      </c>
      <c r="H86" s="14" t="s">
        <v>101</v>
      </c>
    </row>
    <row r="87" spans="1:8" ht="15" customHeight="1" x14ac:dyDescent="0.2">
      <c r="A87" s="18"/>
      <c r="B87" s="18"/>
      <c r="C87" s="18"/>
      <c r="D87" s="18"/>
      <c r="E87" s="18"/>
      <c r="F87" s="18"/>
      <c r="G87" s="11" t="s">
        <v>163</v>
      </c>
      <c r="H87" s="14" t="s">
        <v>101</v>
      </c>
    </row>
    <row r="88" spans="1:8" ht="12" customHeight="1" x14ac:dyDescent="0.2">
      <c r="A88" s="18"/>
      <c r="B88" s="18"/>
      <c r="C88" s="18"/>
      <c r="D88" s="18"/>
      <c r="E88" s="18"/>
      <c r="F88" s="18"/>
      <c r="G88" s="11" t="s">
        <v>164</v>
      </c>
      <c r="H88" s="14" t="s">
        <v>101</v>
      </c>
    </row>
    <row r="89" spans="1:8" ht="12" customHeight="1" x14ac:dyDescent="0.2">
      <c r="A89" s="18"/>
      <c r="B89" s="18"/>
      <c r="C89" s="18"/>
      <c r="D89" s="18"/>
      <c r="E89" s="18"/>
      <c r="F89" s="18"/>
      <c r="G89" s="22" t="s">
        <v>205</v>
      </c>
      <c r="H89" s="22"/>
    </row>
    <row r="90" spans="1:8" ht="12" customHeight="1" x14ac:dyDescent="0.2">
      <c r="A90" s="18"/>
      <c r="B90" s="18"/>
      <c r="C90" s="18"/>
      <c r="D90" s="18"/>
      <c r="E90" s="18"/>
      <c r="F90" s="18"/>
      <c r="G90" s="23" t="s">
        <v>166</v>
      </c>
      <c r="H90" s="23"/>
    </row>
    <row r="91" spans="1:8" ht="12" customHeight="1" x14ac:dyDescent="0.2">
      <c r="A91" s="18"/>
      <c r="B91" s="18"/>
      <c r="C91" s="18"/>
      <c r="D91" s="18"/>
      <c r="E91" s="18"/>
      <c r="F91" s="18"/>
      <c r="G91" s="11" t="s">
        <v>89</v>
      </c>
      <c r="H91" s="4" t="s">
        <v>11</v>
      </c>
    </row>
    <row r="92" spans="1:8" ht="12.75" customHeight="1" x14ac:dyDescent="0.2">
      <c r="A92" s="18"/>
      <c r="B92" s="18"/>
      <c r="C92" s="18"/>
      <c r="D92" s="18"/>
      <c r="E92" s="18"/>
      <c r="F92" s="18"/>
      <c r="G92" s="11" t="s">
        <v>90</v>
      </c>
      <c r="H92" s="14" t="s">
        <v>212</v>
      </c>
    </row>
    <row r="93" spans="1:8" ht="15" customHeight="1" x14ac:dyDescent="0.2">
      <c r="A93" s="18" t="s">
        <v>223</v>
      </c>
      <c r="B93" s="18"/>
      <c r="C93" s="18"/>
      <c r="D93" s="18"/>
      <c r="E93" s="18"/>
      <c r="F93" s="18"/>
      <c r="G93" s="18"/>
      <c r="H93" s="18"/>
    </row>
    <row r="94" spans="1:8" ht="17.25" customHeight="1" thickBot="1" x14ac:dyDescent="0.35">
      <c r="A94" s="29" t="s">
        <v>227</v>
      </c>
      <c r="B94" s="39" t="s">
        <v>86</v>
      </c>
      <c r="C94" s="39"/>
      <c r="D94" s="39"/>
      <c r="E94" s="39"/>
      <c r="F94" s="39"/>
      <c r="G94" s="39" t="s">
        <v>206</v>
      </c>
      <c r="H94" s="39"/>
    </row>
    <row r="95" spans="1:8" ht="17.25" customHeight="1" thickBot="1" x14ac:dyDescent="0.25">
      <c r="A95" s="40" t="s">
        <v>57</v>
      </c>
      <c r="B95" s="40"/>
      <c r="C95" s="41" t="s">
        <v>214</v>
      </c>
      <c r="D95" s="40" t="s">
        <v>58</v>
      </c>
      <c r="E95" s="40"/>
      <c r="F95" s="18"/>
      <c r="G95" s="11" t="s">
        <v>56</v>
      </c>
      <c r="H95" s="4" t="s">
        <v>165</v>
      </c>
    </row>
    <row r="96" spans="1:8" ht="17.25" customHeight="1" thickBot="1" x14ac:dyDescent="0.25">
      <c r="A96" s="3" t="s">
        <v>60</v>
      </c>
      <c r="B96" s="4" t="s">
        <v>71</v>
      </c>
      <c r="C96" s="4" t="s">
        <v>65</v>
      </c>
      <c r="D96" s="5" t="s">
        <v>60</v>
      </c>
      <c r="E96" s="4" t="s">
        <v>79</v>
      </c>
      <c r="F96" s="18"/>
      <c r="G96" s="11" t="s">
        <v>199</v>
      </c>
      <c r="H96" s="4" t="s">
        <v>26</v>
      </c>
    </row>
    <row r="97" spans="1:8" ht="23.25" customHeight="1" thickBot="1" x14ac:dyDescent="0.25">
      <c r="A97" s="3" t="s">
        <v>59</v>
      </c>
      <c r="B97" s="4" t="s">
        <v>83</v>
      </c>
      <c r="C97" s="18"/>
      <c r="D97" s="5" t="s">
        <v>59</v>
      </c>
      <c r="E97" s="4" t="s">
        <v>83</v>
      </c>
      <c r="F97" s="18"/>
      <c r="G97" s="21" t="s">
        <v>200</v>
      </c>
      <c r="H97" s="21"/>
    </row>
    <row r="98" spans="1:8" ht="12.75" customHeight="1" thickBot="1" x14ac:dyDescent="0.25">
      <c r="A98" s="3" t="s">
        <v>85</v>
      </c>
      <c r="B98" s="4" t="s">
        <v>195</v>
      </c>
      <c r="C98" s="18"/>
      <c r="D98" s="5" t="s">
        <v>85</v>
      </c>
      <c r="E98" s="4" t="s">
        <v>196</v>
      </c>
      <c r="F98" s="18"/>
      <c r="G98" s="11" t="s">
        <v>60</v>
      </c>
      <c r="H98" s="14" t="str">
        <f>B96</f>
        <v>Speed of Track Circuit 1</v>
      </c>
    </row>
    <row r="99" spans="1:8" ht="24.75" customHeight="1" thickBot="1" x14ac:dyDescent="0.25">
      <c r="A99" s="3" t="s">
        <v>39</v>
      </c>
      <c r="B99" s="4" t="s">
        <v>196</v>
      </c>
      <c r="C99" s="18"/>
      <c r="D99" s="5" t="s">
        <v>194</v>
      </c>
      <c r="E99" s="4" t="s">
        <v>195</v>
      </c>
      <c r="F99" s="18"/>
      <c r="G99" s="11" t="s">
        <v>59</v>
      </c>
      <c r="H99" s="4" t="s">
        <v>83</v>
      </c>
    </row>
    <row r="100" spans="1:8" ht="15" customHeight="1" thickBot="1" x14ac:dyDescent="0.25">
      <c r="A100" s="3" t="s">
        <v>38</v>
      </c>
      <c r="B100" s="4" t="s">
        <v>196</v>
      </c>
      <c r="C100" s="18"/>
      <c r="D100" s="5" t="s">
        <v>194</v>
      </c>
      <c r="E100" s="4" t="s">
        <v>195</v>
      </c>
      <c r="F100" s="18"/>
      <c r="G100" s="11" t="s">
        <v>201</v>
      </c>
      <c r="H100" s="4" t="s">
        <v>7</v>
      </c>
    </row>
    <row r="101" spans="1:8" ht="14.25" customHeight="1" thickBot="1" x14ac:dyDescent="0.25">
      <c r="A101" s="3" t="s">
        <v>40</v>
      </c>
      <c r="B101" s="4" t="s">
        <v>196</v>
      </c>
      <c r="C101" s="18"/>
      <c r="D101" s="5" t="s">
        <v>194</v>
      </c>
      <c r="E101" s="4" t="s">
        <v>195</v>
      </c>
      <c r="F101" s="18"/>
      <c r="G101" s="11" t="s">
        <v>61</v>
      </c>
      <c r="H101" s="14" t="str">
        <f>B103</f>
        <v>&lt;skip, not used&gt;</v>
      </c>
    </row>
    <row r="102" spans="1:8" ht="12.75" customHeight="1" thickBot="1" x14ac:dyDescent="0.25">
      <c r="A102" s="3" t="s">
        <v>55</v>
      </c>
      <c r="B102" s="12" t="str" cm="1">
        <f t="array" ref="B102">IF(B96=INDEX(ConditionSources_List,1),GenerateEventID.GenerateEventID($B$2, MATCH(B100, Cards_Table[Cards],0)-1, MATCH(B99, CardTypes_Table[Card Types],0)-1,  MATCH(B101, Devices_Table[Devices],0)-1, FALSE), "&lt;skip, not used&gt;")</f>
        <v>&lt;skip, not used&gt;</v>
      </c>
      <c r="C102" s="18"/>
      <c r="D102" s="5" t="s">
        <v>55</v>
      </c>
      <c r="E102" s="12" t="str" cm="1">
        <f t="array" ref="E102">IF(E96=INDEX(ConditionSources_List,1),GenerateEventID.GenerateEventID($B$2, MATCH(E100, Cards_Table[Cards],0)-1, MATCH(E99, CardTypes_Table[Card Types],0)-1,  MATCH(E101, Devices_Table[Devices],0)-1, FALSE), "&lt;skip, not used&gt;")</f>
        <v>Waiting on selection</v>
      </c>
      <c r="F102" s="18"/>
      <c r="G102" s="11" t="s">
        <v>62</v>
      </c>
      <c r="H102" s="14" t="str">
        <f>B102</f>
        <v>&lt;skip, not used&gt;</v>
      </c>
    </row>
    <row r="103" spans="1:8" ht="12" customHeight="1" x14ac:dyDescent="0.2">
      <c r="A103" s="15" t="s">
        <v>45</v>
      </c>
      <c r="B103" s="16" t="str" cm="1">
        <f t="array" ref="B103">IF(B96=INDEX(ConditionSources_List,1),GenerateEventID.GenerateEventID($B$2, MATCH(B100, Cards_Table[Cards],0)-1, MATCH(B99, CardTypes_Table[Card Types],0)-1,  MATCH(B101, Devices_Table[Devices],0)-1, TRUE), "&lt;skip, not used&gt;")</f>
        <v>&lt;skip, not used&gt;</v>
      </c>
      <c r="C103" s="18"/>
      <c r="D103" s="17" t="s">
        <v>45</v>
      </c>
      <c r="E103" s="16" t="str" cm="1">
        <f t="array" ref="E103">IF(E96=INDEX(ConditionSources_List,1),GenerateEventID.GenerateEventID($B$2, MATCH(E100, Cards_Table[Cards],0)-1, MATCH(E99, CardTypes_Table[Card Types],0)-1,  MATCH(E101, Devices_Table[Devices],0)-1, TRUE), "&lt;skip, not used&gt;")</f>
        <v>Waiting on selection</v>
      </c>
      <c r="F103" s="18"/>
      <c r="G103" s="11" t="s">
        <v>162</v>
      </c>
      <c r="H103" s="14" t="str">
        <f>C96</f>
        <v>Condition 1 OR Condition 2</v>
      </c>
    </row>
    <row r="104" spans="1:8" ht="12" customHeight="1" x14ac:dyDescent="0.2">
      <c r="A104" s="18"/>
      <c r="B104" s="18"/>
      <c r="C104" s="18"/>
      <c r="D104" s="18"/>
      <c r="E104" s="18"/>
      <c r="F104" s="18"/>
      <c r="G104" s="21" t="s">
        <v>87</v>
      </c>
      <c r="H104" s="14"/>
    </row>
    <row r="105" spans="1:8" ht="12.75" customHeight="1" x14ac:dyDescent="0.2">
      <c r="A105" s="18"/>
      <c r="B105" s="18"/>
      <c r="C105" s="18"/>
      <c r="D105" s="18"/>
      <c r="E105" s="18"/>
      <c r="F105" s="18"/>
      <c r="G105" s="11" t="s">
        <v>60</v>
      </c>
      <c r="H105" s="14" t="str">
        <f>E96</f>
        <v>Event ID</v>
      </c>
    </row>
    <row r="106" spans="1:8" ht="15.75" customHeight="1" thickBot="1" x14ac:dyDescent="0.35">
      <c r="A106" s="28" t="s">
        <v>220</v>
      </c>
      <c r="B106" s="33" t="s">
        <v>221</v>
      </c>
      <c r="C106" s="33"/>
      <c r="D106" s="33"/>
      <c r="E106" s="33"/>
      <c r="F106" s="18"/>
      <c r="G106" s="11" t="s">
        <v>59</v>
      </c>
      <c r="H106" s="4" t="s">
        <v>83</v>
      </c>
    </row>
    <row r="107" spans="1:8" ht="14.25" customHeight="1" x14ac:dyDescent="0.2">
      <c r="A107" s="18"/>
      <c r="B107" s="18"/>
      <c r="C107" s="18"/>
      <c r="D107" s="18"/>
      <c r="E107" s="18"/>
      <c r="F107" s="18"/>
      <c r="G107" s="11" t="s">
        <v>201</v>
      </c>
      <c r="H107" s="4" t="s">
        <v>7</v>
      </c>
    </row>
    <row r="108" spans="1:8" ht="12" customHeight="1" x14ac:dyDescent="0.2">
      <c r="A108" s="18"/>
      <c r="B108" s="18"/>
      <c r="C108" s="18"/>
      <c r="D108" s="18"/>
      <c r="E108" s="18"/>
      <c r="F108" s="18"/>
      <c r="G108" s="11" t="s">
        <v>61</v>
      </c>
      <c r="H108" s="14" t="str">
        <f>E103</f>
        <v>Waiting on selection</v>
      </c>
    </row>
    <row r="109" spans="1:8" ht="14.25" customHeight="1" x14ac:dyDescent="0.2">
      <c r="A109" s="18"/>
      <c r="B109" s="18"/>
      <c r="C109" s="18"/>
      <c r="D109" s="18"/>
      <c r="E109" s="18"/>
      <c r="F109" s="18"/>
      <c r="G109" s="11" t="s">
        <v>62</v>
      </c>
      <c r="H109" s="14" t="str">
        <f>E102</f>
        <v>Waiting on selection</v>
      </c>
    </row>
    <row r="110" spans="1:8" ht="12.75" customHeight="1" x14ac:dyDescent="0.2">
      <c r="A110" s="18"/>
      <c r="B110" s="18"/>
      <c r="C110" s="18"/>
      <c r="D110" s="18"/>
      <c r="E110" s="18"/>
      <c r="F110" s="18"/>
      <c r="G110" s="18"/>
      <c r="H110" s="18"/>
    </row>
    <row r="111" spans="1:8" ht="12" customHeight="1" x14ac:dyDescent="0.2">
      <c r="A111" s="18"/>
      <c r="B111" s="18"/>
      <c r="C111" s="18"/>
      <c r="D111" s="18"/>
      <c r="E111" s="18"/>
      <c r="F111" s="18"/>
      <c r="G111" s="11" t="s">
        <v>202</v>
      </c>
      <c r="H111" s="4" t="s">
        <v>18</v>
      </c>
    </row>
    <row r="112" spans="1:8" ht="12" customHeight="1" x14ac:dyDescent="0.2">
      <c r="A112" s="18"/>
      <c r="B112" s="18"/>
      <c r="C112" s="18"/>
      <c r="D112" s="18"/>
      <c r="E112" s="18"/>
      <c r="F112" s="18"/>
      <c r="G112" s="11" t="s">
        <v>203</v>
      </c>
      <c r="H112" s="4" t="s">
        <v>18</v>
      </c>
    </row>
    <row r="113" spans="1:8" ht="12" customHeight="1" x14ac:dyDescent="0.2">
      <c r="A113" s="18"/>
      <c r="B113" s="18"/>
      <c r="C113" s="18"/>
      <c r="D113" s="18"/>
      <c r="E113" s="18"/>
      <c r="F113" s="18"/>
      <c r="G113" s="22" t="s">
        <v>88</v>
      </c>
      <c r="H113" s="22"/>
    </row>
    <row r="114" spans="1:8" ht="12" customHeight="1" x14ac:dyDescent="0.2">
      <c r="A114" s="18"/>
      <c r="B114" s="18"/>
      <c r="C114" s="18"/>
      <c r="D114" s="18"/>
      <c r="E114" s="18"/>
      <c r="F114" s="18"/>
      <c r="G114" s="11" t="s">
        <v>204</v>
      </c>
      <c r="H114" s="14" t="s">
        <v>101</v>
      </c>
    </row>
    <row r="115" spans="1:8" ht="15" customHeight="1" x14ac:dyDescent="0.2">
      <c r="A115" s="18"/>
      <c r="B115" s="18"/>
      <c r="C115" s="18"/>
      <c r="D115" s="18"/>
      <c r="E115" s="18"/>
      <c r="F115" s="18"/>
      <c r="G115" s="11" t="s">
        <v>163</v>
      </c>
      <c r="H115" s="14" t="s">
        <v>101</v>
      </c>
    </row>
    <row r="116" spans="1:8" ht="12" customHeight="1" x14ac:dyDescent="0.2">
      <c r="A116" s="18"/>
      <c r="B116" s="18"/>
      <c r="C116" s="18"/>
      <c r="D116" s="18"/>
      <c r="E116" s="18"/>
      <c r="F116" s="18"/>
      <c r="G116" s="11" t="s">
        <v>164</v>
      </c>
      <c r="H116" s="14" t="s">
        <v>101</v>
      </c>
    </row>
    <row r="117" spans="1:8" ht="12" customHeight="1" x14ac:dyDescent="0.2">
      <c r="A117" s="18"/>
      <c r="B117" s="18"/>
      <c r="C117" s="18"/>
      <c r="D117" s="18"/>
      <c r="E117" s="18"/>
      <c r="F117" s="18"/>
      <c r="G117" s="22" t="s">
        <v>205</v>
      </c>
      <c r="H117" s="22"/>
    </row>
    <row r="118" spans="1:8" ht="12" customHeight="1" x14ac:dyDescent="0.2">
      <c r="A118" s="18"/>
      <c r="B118" s="18"/>
      <c r="C118" s="18"/>
      <c r="D118" s="18"/>
      <c r="E118" s="18"/>
      <c r="F118" s="18"/>
      <c r="G118" s="23" t="s">
        <v>166</v>
      </c>
      <c r="H118" s="23"/>
    </row>
    <row r="119" spans="1:8" ht="12" customHeight="1" x14ac:dyDescent="0.2">
      <c r="A119" s="18"/>
      <c r="B119" s="18"/>
      <c r="C119" s="18"/>
      <c r="D119" s="18"/>
      <c r="E119" s="18"/>
      <c r="F119" s="18"/>
      <c r="G119" s="11" t="s">
        <v>89</v>
      </c>
      <c r="H119" s="4" t="s">
        <v>11</v>
      </c>
    </row>
    <row r="120" spans="1:8" ht="12.75" customHeight="1" x14ac:dyDescent="0.2">
      <c r="A120" s="18"/>
      <c r="B120" s="18"/>
      <c r="C120" s="18"/>
      <c r="D120" s="18"/>
      <c r="E120" s="18"/>
      <c r="F120" s="18"/>
      <c r="G120" s="11" t="s">
        <v>90</v>
      </c>
      <c r="H120" s="14" t="s">
        <v>212</v>
      </c>
    </row>
    <row r="121" spans="1:8" ht="15" customHeight="1" x14ac:dyDescent="0.2">
      <c r="A121" s="18" t="s">
        <v>223</v>
      </c>
      <c r="B121" s="18"/>
      <c r="C121" s="18"/>
      <c r="D121" s="18"/>
      <c r="E121" s="18"/>
      <c r="F121" s="18"/>
      <c r="G121" s="18"/>
      <c r="H121" s="18"/>
    </row>
    <row r="122" spans="1:8" ht="15" customHeight="1" x14ac:dyDescent="0.2"/>
    <row r="123" spans="1:8" ht="15" customHeight="1" x14ac:dyDescent="0.2"/>
    <row r="124" spans="1:8" ht="15" customHeight="1" x14ac:dyDescent="0.2"/>
    <row r="125" spans="1:8" ht="15" customHeight="1" x14ac:dyDescent="0.2"/>
    <row r="126" spans="1:8" ht="15" customHeight="1" x14ac:dyDescent="0.2"/>
    <row r="127" spans="1:8" ht="15" customHeight="1" x14ac:dyDescent="0.2"/>
    <row r="128" spans="1: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spans="10:10" ht="15" customHeight="1" x14ac:dyDescent="0.2"/>
    <row r="146" spans="10:10" ht="15" customHeight="1" x14ac:dyDescent="0.2"/>
    <row r="147" spans="10:10" ht="15" customHeight="1" x14ac:dyDescent="0.2"/>
    <row r="148" spans="10:10" ht="15" customHeight="1" x14ac:dyDescent="0.2"/>
    <row r="149" spans="10:10" ht="15" customHeight="1" x14ac:dyDescent="0.2"/>
    <row r="150" spans="10:10" ht="17.25" customHeight="1" x14ac:dyDescent="0.2">
      <c r="J150" s="6" t="s">
        <v>224</v>
      </c>
    </row>
    <row r="151" spans="10:10" ht="17.25" customHeight="1" x14ac:dyDescent="0.2">
      <c r="J151" s="6" t="s">
        <v>224</v>
      </c>
    </row>
    <row r="152" spans="10:10" ht="17.25" customHeight="1" x14ac:dyDescent="0.2">
      <c r="J152" s="6" t="s">
        <v>224</v>
      </c>
    </row>
    <row r="153" spans="10:10" ht="23.25" customHeight="1" x14ac:dyDescent="0.2">
      <c r="J153" s="6" t="s">
        <v>224</v>
      </c>
    </row>
    <row r="154" spans="10:10" ht="12.75" customHeight="1" x14ac:dyDescent="0.2">
      <c r="J154" s="6" t="s">
        <v>224</v>
      </c>
    </row>
    <row r="155" spans="10:10" ht="24.75" customHeight="1" x14ac:dyDescent="0.2">
      <c r="J155" s="6" t="s">
        <v>224</v>
      </c>
    </row>
    <row r="156" spans="10:10" ht="15" customHeight="1" x14ac:dyDescent="0.2">
      <c r="J156" s="6" t="s">
        <v>224</v>
      </c>
    </row>
    <row r="157" spans="10:10" ht="14.25" customHeight="1" x14ac:dyDescent="0.2">
      <c r="J157" s="6" t="s">
        <v>224</v>
      </c>
    </row>
    <row r="158" spans="10:10" ht="12.75" customHeight="1" x14ac:dyDescent="0.2">
      <c r="J158" s="6" t="s">
        <v>224</v>
      </c>
    </row>
    <row r="159" spans="10:10" ht="12" customHeight="1" x14ac:dyDescent="0.2">
      <c r="J159" s="6" t="s">
        <v>224</v>
      </c>
    </row>
    <row r="160" spans="10:10" ht="12" customHeight="1" x14ac:dyDescent="0.2">
      <c r="J160" s="6" t="s">
        <v>224</v>
      </c>
    </row>
    <row r="161" spans="10:10" ht="12.75" customHeight="1" x14ac:dyDescent="0.2">
      <c r="J161" s="6" t="s">
        <v>224</v>
      </c>
    </row>
    <row r="162" spans="10:10" ht="15.75" customHeight="1" x14ac:dyDescent="0.2"/>
    <row r="163" spans="10:10" ht="14.25" customHeight="1" x14ac:dyDescent="0.2"/>
    <row r="164" spans="10:10" ht="12" customHeight="1" x14ac:dyDescent="0.2"/>
    <row r="165" spans="10:10" ht="14.25" customHeight="1" x14ac:dyDescent="0.2"/>
    <row r="166" spans="10:10" ht="12.75" customHeight="1" x14ac:dyDescent="0.2"/>
    <row r="167" spans="10:10" ht="12" customHeight="1" x14ac:dyDescent="0.2"/>
    <row r="168" spans="10:10" ht="12" customHeight="1" x14ac:dyDescent="0.2"/>
    <row r="169" spans="10:10" ht="12" customHeight="1" x14ac:dyDescent="0.2"/>
    <row r="170" spans="10:10" ht="12" customHeight="1" x14ac:dyDescent="0.2"/>
    <row r="171" spans="10:10" ht="15" customHeight="1" x14ac:dyDescent="0.2"/>
    <row r="172" spans="10:10" ht="12" customHeight="1" x14ac:dyDescent="0.2"/>
    <row r="173" spans="10:10" ht="12" customHeight="1" x14ac:dyDescent="0.2"/>
    <row r="174" spans="10:10" ht="12" customHeight="1" x14ac:dyDescent="0.2"/>
    <row r="175" spans="10:10" ht="12" customHeight="1" x14ac:dyDescent="0.2"/>
    <row r="176" spans="10:10" ht="12.75" customHeight="1" x14ac:dyDescent="0.2"/>
    <row r="177" ht="15" customHeight="1" x14ac:dyDescent="0.2"/>
    <row r="178" ht="17.25" customHeight="1" x14ac:dyDescent="0.2"/>
    <row r="179" ht="17.25" customHeight="1" x14ac:dyDescent="0.2"/>
    <row r="180" ht="17.25" customHeight="1" x14ac:dyDescent="0.2"/>
    <row r="181" ht="23.25" customHeight="1" x14ac:dyDescent="0.2"/>
    <row r="182" ht="12.75" customHeight="1" x14ac:dyDescent="0.2"/>
    <row r="183" ht="24.75" customHeight="1" x14ac:dyDescent="0.2"/>
    <row r="184" ht="15" customHeight="1" x14ac:dyDescent="0.2"/>
    <row r="185" ht="14.25" customHeight="1" x14ac:dyDescent="0.2"/>
    <row r="186" ht="12.75" customHeight="1" x14ac:dyDescent="0.2"/>
    <row r="187" ht="12" customHeight="1" x14ac:dyDescent="0.2"/>
    <row r="188" ht="12" customHeight="1" x14ac:dyDescent="0.2"/>
    <row r="189" ht="12.75" customHeight="1" x14ac:dyDescent="0.2"/>
    <row r="190" ht="15.75" customHeight="1" x14ac:dyDescent="0.2"/>
    <row r="191" ht="14.25" customHeight="1" x14ac:dyDescent="0.2"/>
    <row r="192" ht="12" customHeight="1" x14ac:dyDescent="0.2"/>
    <row r="193" ht="14.25" customHeight="1" x14ac:dyDescent="0.2"/>
    <row r="194" ht="12.75" customHeight="1" x14ac:dyDescent="0.2"/>
    <row r="195" ht="12" customHeight="1" x14ac:dyDescent="0.2"/>
    <row r="196" ht="12" customHeight="1" x14ac:dyDescent="0.2"/>
    <row r="197" ht="12" customHeight="1" x14ac:dyDescent="0.2"/>
    <row r="198" ht="12" customHeight="1" x14ac:dyDescent="0.2"/>
    <row r="199" ht="15" customHeight="1" x14ac:dyDescent="0.2"/>
    <row r="200" ht="12" customHeight="1" x14ac:dyDescent="0.2"/>
    <row r="201" ht="12" customHeight="1" x14ac:dyDescent="0.2"/>
    <row r="202" ht="12" customHeight="1" x14ac:dyDescent="0.2"/>
    <row r="203" ht="12" customHeight="1" x14ac:dyDescent="0.2"/>
    <row r="204" ht="12.75" customHeight="1" x14ac:dyDescent="0.2"/>
    <row r="205" ht="15" customHeight="1" x14ac:dyDescent="0.2"/>
    <row r="206" ht="17.25" customHeight="1" x14ac:dyDescent="0.2"/>
    <row r="207" ht="17.25" customHeight="1" x14ac:dyDescent="0.2"/>
    <row r="208" ht="23.25" customHeight="1" x14ac:dyDescent="0.2"/>
    <row r="209" ht="12.75" customHeight="1" x14ac:dyDescent="0.2"/>
    <row r="210" ht="24.75" customHeight="1" x14ac:dyDescent="0.2"/>
    <row r="211" ht="15" customHeight="1" x14ac:dyDescent="0.2"/>
    <row r="212" ht="14.25" customHeight="1" x14ac:dyDescent="0.2"/>
    <row r="213" ht="12.75" customHeight="1" x14ac:dyDescent="0.2"/>
    <row r="214" ht="12" customHeight="1" x14ac:dyDescent="0.2"/>
    <row r="215" ht="12" customHeight="1" x14ac:dyDescent="0.2"/>
    <row r="216" ht="12.75" customHeight="1" x14ac:dyDescent="0.2"/>
    <row r="217" ht="15.75" customHeight="1" x14ac:dyDescent="0.2"/>
    <row r="218" ht="14.25" customHeight="1" x14ac:dyDescent="0.2"/>
    <row r="219" ht="12" customHeight="1" x14ac:dyDescent="0.2"/>
    <row r="220" ht="14.25" customHeight="1" x14ac:dyDescent="0.2"/>
    <row r="221" ht="12.75" customHeight="1" x14ac:dyDescent="0.2"/>
    <row r="222" ht="12" customHeight="1" x14ac:dyDescent="0.2"/>
    <row r="223" ht="12" customHeight="1" x14ac:dyDescent="0.2"/>
    <row r="224" ht="12" customHeight="1" x14ac:dyDescent="0.2"/>
    <row r="225" ht="12" customHeight="1" x14ac:dyDescent="0.2"/>
    <row r="226" ht="15" customHeight="1" x14ac:dyDescent="0.2"/>
    <row r="227" ht="12" customHeight="1" x14ac:dyDescent="0.2"/>
    <row r="228" ht="12" customHeight="1" x14ac:dyDescent="0.2"/>
    <row r="229" ht="12" customHeight="1" x14ac:dyDescent="0.2"/>
    <row r="230" ht="12" customHeight="1" x14ac:dyDescent="0.2"/>
    <row r="231" ht="12.7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7.25" customHeight="1" x14ac:dyDescent="0.2"/>
    <row r="263" ht="17.25" customHeight="1" x14ac:dyDescent="0.2"/>
    <row r="264" ht="17.25" customHeight="1" x14ac:dyDescent="0.2"/>
    <row r="265" ht="23.25" customHeight="1" x14ac:dyDescent="0.2"/>
    <row r="266" ht="12.75" customHeight="1" x14ac:dyDescent="0.2"/>
    <row r="267" ht="24.75" customHeight="1" x14ac:dyDescent="0.2"/>
    <row r="268" ht="15" customHeight="1" x14ac:dyDescent="0.2"/>
    <row r="269" ht="14.25" customHeight="1" x14ac:dyDescent="0.2"/>
    <row r="270" ht="12.75" customHeight="1" x14ac:dyDescent="0.2"/>
    <row r="271" ht="12" customHeight="1" x14ac:dyDescent="0.2"/>
    <row r="272" ht="12" customHeight="1" x14ac:dyDescent="0.2"/>
    <row r="273" ht="12.75" customHeight="1" x14ac:dyDescent="0.2"/>
    <row r="274" ht="15.75" customHeight="1" x14ac:dyDescent="0.2"/>
    <row r="275" ht="14.25" customHeight="1" x14ac:dyDescent="0.2"/>
    <row r="276" ht="12" customHeight="1" x14ac:dyDescent="0.2"/>
    <row r="277" ht="14.25" customHeight="1" x14ac:dyDescent="0.2"/>
    <row r="278" ht="12.75" customHeight="1" x14ac:dyDescent="0.2"/>
    <row r="279" ht="12" customHeight="1" x14ac:dyDescent="0.2"/>
    <row r="280" ht="12" customHeight="1" x14ac:dyDescent="0.2"/>
    <row r="281" ht="12" customHeight="1" x14ac:dyDescent="0.2"/>
    <row r="282" ht="12" customHeight="1" x14ac:dyDescent="0.2"/>
    <row r="283" ht="15" customHeight="1" x14ac:dyDescent="0.2"/>
    <row r="284" ht="12" customHeight="1" x14ac:dyDescent="0.2"/>
    <row r="285" ht="12" customHeight="1" x14ac:dyDescent="0.2"/>
    <row r="286" ht="12" customHeight="1" x14ac:dyDescent="0.2"/>
    <row r="287" ht="12" customHeight="1" x14ac:dyDescent="0.2"/>
    <row r="288" ht="12.75" customHeight="1" x14ac:dyDescent="0.2"/>
    <row r="289" ht="15" customHeight="1" x14ac:dyDescent="0.2"/>
    <row r="290" ht="17.25" customHeight="1" x14ac:dyDescent="0.2"/>
    <row r="291" ht="17.25" customHeight="1" x14ac:dyDescent="0.2"/>
    <row r="292" ht="17.25" customHeight="1" x14ac:dyDescent="0.2"/>
    <row r="293" ht="23.25" customHeight="1" x14ac:dyDescent="0.2"/>
    <row r="294" ht="12.75" customHeight="1" x14ac:dyDescent="0.2"/>
    <row r="295" ht="24.75" customHeight="1" x14ac:dyDescent="0.2"/>
    <row r="296" ht="15" customHeight="1" x14ac:dyDescent="0.2"/>
    <row r="297" ht="14.25" customHeight="1" x14ac:dyDescent="0.2"/>
    <row r="298" ht="12.75" customHeight="1" x14ac:dyDescent="0.2"/>
    <row r="299" ht="12" customHeight="1" x14ac:dyDescent="0.2"/>
    <row r="300" ht="12" customHeight="1" x14ac:dyDescent="0.2"/>
    <row r="301" ht="12.75" customHeight="1" x14ac:dyDescent="0.2"/>
    <row r="302" ht="15.75" customHeight="1" x14ac:dyDescent="0.2"/>
    <row r="303" ht="14.25" customHeight="1" x14ac:dyDescent="0.2"/>
    <row r="304" ht="12" customHeight="1" x14ac:dyDescent="0.2"/>
    <row r="305" ht="14.25" customHeight="1" x14ac:dyDescent="0.2"/>
    <row r="306" ht="12.75" customHeight="1" x14ac:dyDescent="0.2"/>
    <row r="307" ht="12" customHeight="1" x14ac:dyDescent="0.2"/>
    <row r="308" ht="12" customHeight="1" x14ac:dyDescent="0.2"/>
    <row r="309" ht="12" customHeight="1" x14ac:dyDescent="0.2"/>
    <row r="310" ht="12" customHeight="1" x14ac:dyDescent="0.2"/>
    <row r="311" ht="15" customHeight="1" x14ac:dyDescent="0.2"/>
    <row r="312" ht="12" customHeight="1" x14ac:dyDescent="0.2"/>
    <row r="313" ht="12" customHeight="1" x14ac:dyDescent="0.2"/>
    <row r="314" ht="12" customHeight="1" x14ac:dyDescent="0.2"/>
    <row r="315" ht="12" customHeight="1" x14ac:dyDescent="0.2"/>
    <row r="316" ht="12.75" customHeight="1" x14ac:dyDescent="0.2"/>
    <row r="317" ht="15" customHeight="1" x14ac:dyDescent="0.2"/>
    <row r="318" ht="17.25" customHeight="1" x14ac:dyDescent="0.2"/>
    <row r="319" ht="17.25" customHeight="1" x14ac:dyDescent="0.2"/>
    <row r="320" ht="17.25" customHeight="1" x14ac:dyDescent="0.2"/>
    <row r="321" ht="23.25" customHeight="1" x14ac:dyDescent="0.2"/>
    <row r="322" ht="12.75" customHeight="1" x14ac:dyDescent="0.2"/>
    <row r="323" ht="24.75" customHeight="1" x14ac:dyDescent="0.2"/>
    <row r="324" ht="15" customHeight="1" x14ac:dyDescent="0.2"/>
    <row r="325" ht="14.25" customHeight="1" x14ac:dyDescent="0.2"/>
    <row r="326" ht="12.75" customHeight="1" x14ac:dyDescent="0.2"/>
    <row r="327" ht="12" customHeight="1" x14ac:dyDescent="0.2"/>
    <row r="328" ht="12" customHeight="1" x14ac:dyDescent="0.2"/>
    <row r="329" ht="12.75" customHeight="1" x14ac:dyDescent="0.2"/>
    <row r="330" ht="15.75" customHeight="1" x14ac:dyDescent="0.2"/>
    <row r="331" ht="14.25" customHeight="1" x14ac:dyDescent="0.2"/>
    <row r="332" ht="12" customHeight="1" x14ac:dyDescent="0.2"/>
    <row r="333" ht="14.25" customHeight="1" x14ac:dyDescent="0.2"/>
    <row r="334" ht="12.75" customHeight="1" x14ac:dyDescent="0.2"/>
    <row r="335" ht="12" customHeight="1" x14ac:dyDescent="0.2"/>
    <row r="336" ht="12" customHeight="1" x14ac:dyDescent="0.2"/>
    <row r="337" ht="12" customHeight="1" x14ac:dyDescent="0.2"/>
    <row r="338" ht="12" customHeight="1" x14ac:dyDescent="0.2"/>
    <row r="339" ht="15" customHeight="1" x14ac:dyDescent="0.2"/>
    <row r="340" ht="12" customHeight="1" x14ac:dyDescent="0.2"/>
    <row r="341" ht="12" customHeight="1" x14ac:dyDescent="0.2"/>
    <row r="342" ht="12" customHeight="1" x14ac:dyDescent="0.2"/>
    <row r="343" ht="12" customHeight="1" x14ac:dyDescent="0.2"/>
    <row r="344" ht="12.75" customHeight="1" x14ac:dyDescent="0.2"/>
    <row r="345" ht="15" customHeight="1" x14ac:dyDescent="0.2"/>
    <row r="346" ht="17.25" customHeight="1" x14ac:dyDescent="0.2"/>
    <row r="347" ht="17.25" customHeight="1" x14ac:dyDescent="0.2"/>
    <row r="348" ht="17.25" customHeight="1" x14ac:dyDescent="0.2"/>
    <row r="349" ht="23.25" customHeight="1" x14ac:dyDescent="0.2"/>
    <row r="350" ht="12.75" customHeight="1" x14ac:dyDescent="0.2"/>
    <row r="351" ht="24.75" customHeight="1" x14ac:dyDescent="0.2"/>
    <row r="352" ht="15" customHeight="1" x14ac:dyDescent="0.2"/>
    <row r="353" ht="14.25" customHeight="1" x14ac:dyDescent="0.2"/>
    <row r="354" ht="12.75" customHeight="1" x14ac:dyDescent="0.2"/>
    <row r="355" ht="12" customHeight="1" x14ac:dyDescent="0.2"/>
    <row r="356" ht="12" customHeight="1" x14ac:dyDescent="0.2"/>
    <row r="357" ht="12.75" customHeight="1" x14ac:dyDescent="0.2"/>
    <row r="358" ht="15.75" customHeight="1" x14ac:dyDescent="0.2"/>
    <row r="359" ht="14.25" customHeight="1" x14ac:dyDescent="0.2"/>
    <row r="360" ht="12" customHeight="1" x14ac:dyDescent="0.2"/>
    <row r="361" ht="14.25" customHeight="1" x14ac:dyDescent="0.2"/>
    <row r="362" ht="12.75" customHeight="1" x14ac:dyDescent="0.2"/>
    <row r="363" ht="12" customHeight="1" x14ac:dyDescent="0.2"/>
    <row r="364" ht="12" customHeight="1" x14ac:dyDescent="0.2"/>
    <row r="365" ht="12" customHeight="1" x14ac:dyDescent="0.2"/>
    <row r="366" ht="12" customHeight="1" x14ac:dyDescent="0.2"/>
    <row r="367" ht="15" customHeight="1" x14ac:dyDescent="0.2"/>
    <row r="368" ht="12" customHeight="1" x14ac:dyDescent="0.2"/>
    <row r="369" ht="12" customHeight="1" x14ac:dyDescent="0.2"/>
    <row r="370" ht="12" customHeight="1" x14ac:dyDescent="0.2"/>
    <row r="371" ht="12" customHeight="1" x14ac:dyDescent="0.2"/>
    <row r="372" ht="12.75" customHeight="1" x14ac:dyDescent="0.2"/>
    <row r="373" ht="15" customHeight="1" x14ac:dyDescent="0.2"/>
    <row r="374" ht="15" customHeight="1" x14ac:dyDescent="0.2"/>
    <row r="375" ht="17.25" customHeight="1" x14ac:dyDescent="0.2"/>
    <row r="376" ht="17.25" customHeight="1" x14ac:dyDescent="0.2"/>
    <row r="377" ht="23.25" customHeight="1" x14ac:dyDescent="0.2"/>
    <row r="378" ht="12.75" customHeight="1" x14ac:dyDescent="0.2"/>
    <row r="379" ht="24.75" customHeight="1" x14ac:dyDescent="0.2"/>
    <row r="380" ht="15" customHeight="1" x14ac:dyDescent="0.2"/>
    <row r="381" ht="14.25" customHeight="1" x14ac:dyDescent="0.2"/>
    <row r="382" ht="12.75" customHeight="1" x14ac:dyDescent="0.2"/>
    <row r="383" ht="12" customHeight="1" x14ac:dyDescent="0.2"/>
    <row r="384" ht="12" customHeight="1" x14ac:dyDescent="0.2"/>
    <row r="385" ht="12.75" customHeight="1" x14ac:dyDescent="0.2"/>
    <row r="386" ht="15.75" customHeight="1" x14ac:dyDescent="0.2"/>
    <row r="387" ht="14.25" customHeight="1" x14ac:dyDescent="0.2"/>
    <row r="388" ht="12" customHeight="1" x14ac:dyDescent="0.2"/>
    <row r="389" ht="14.25" customHeight="1" x14ac:dyDescent="0.2"/>
    <row r="390" ht="12.75" customHeight="1" x14ac:dyDescent="0.2"/>
    <row r="391" ht="12" customHeight="1" x14ac:dyDescent="0.2"/>
    <row r="392" ht="12" customHeight="1" x14ac:dyDescent="0.2"/>
    <row r="393" ht="12" customHeight="1" x14ac:dyDescent="0.2"/>
    <row r="394" ht="12" customHeight="1" x14ac:dyDescent="0.2"/>
    <row r="395" ht="15" customHeight="1" x14ac:dyDescent="0.2"/>
    <row r="396" ht="12" customHeight="1" x14ac:dyDescent="0.2"/>
    <row r="397" ht="12" customHeight="1" x14ac:dyDescent="0.2"/>
    <row r="398" ht="12" customHeight="1" x14ac:dyDescent="0.2"/>
    <row r="399" ht="12" customHeight="1" x14ac:dyDescent="0.2"/>
    <row r="400" ht="12.75" customHeight="1" x14ac:dyDescent="0.2"/>
    <row r="401" ht="15" customHeight="1" x14ac:dyDescent="0.2"/>
    <row r="402" ht="17.25" customHeight="1" x14ac:dyDescent="0.2"/>
    <row r="403" ht="17.25" customHeight="1" x14ac:dyDescent="0.2"/>
    <row r="404" ht="17.25" customHeight="1" x14ac:dyDescent="0.2"/>
    <row r="405" ht="23.25" customHeight="1" x14ac:dyDescent="0.2"/>
    <row r="406" ht="12.75" customHeight="1" x14ac:dyDescent="0.2"/>
    <row r="407" ht="24.75" customHeight="1" x14ac:dyDescent="0.2"/>
    <row r="408" ht="15" customHeight="1" x14ac:dyDescent="0.2"/>
    <row r="409" ht="14.25" customHeight="1" x14ac:dyDescent="0.2"/>
    <row r="410" ht="12.75" customHeight="1" x14ac:dyDescent="0.2"/>
    <row r="411" ht="12" customHeight="1" x14ac:dyDescent="0.2"/>
    <row r="412" ht="12" customHeight="1" x14ac:dyDescent="0.2"/>
    <row r="413" ht="12.75" customHeight="1" x14ac:dyDescent="0.2"/>
    <row r="414" ht="15.75" customHeight="1" x14ac:dyDescent="0.2"/>
    <row r="415" ht="14.25" customHeight="1" x14ac:dyDescent="0.2"/>
    <row r="416" ht="12" customHeight="1" x14ac:dyDescent="0.2"/>
    <row r="417" ht="14.25" customHeight="1" x14ac:dyDescent="0.2"/>
    <row r="418" ht="12.75" customHeight="1" x14ac:dyDescent="0.2"/>
    <row r="419" ht="12" customHeight="1" x14ac:dyDescent="0.2"/>
    <row r="420" ht="12" customHeight="1" x14ac:dyDescent="0.2"/>
    <row r="421" ht="12" customHeight="1" x14ac:dyDescent="0.2"/>
    <row r="422" ht="12" customHeight="1" x14ac:dyDescent="0.2"/>
    <row r="423" ht="15" customHeight="1" x14ac:dyDescent="0.2"/>
    <row r="424" ht="12" customHeight="1" x14ac:dyDescent="0.2"/>
    <row r="425" ht="12" customHeight="1" x14ac:dyDescent="0.2"/>
    <row r="426" ht="12" customHeight="1" x14ac:dyDescent="0.2"/>
    <row r="427" ht="12" customHeight="1" x14ac:dyDescent="0.2"/>
    <row r="428" ht="12.75" customHeight="1" x14ac:dyDescent="0.2"/>
    <row r="429" ht="15" customHeight="1" x14ac:dyDescent="0.2"/>
    <row r="430" ht="17.25" customHeight="1" x14ac:dyDescent="0.2"/>
    <row r="431" ht="17.25" customHeight="1" x14ac:dyDescent="0.2"/>
    <row r="432" ht="17.25" customHeight="1" x14ac:dyDescent="0.2"/>
    <row r="433" ht="23.25" customHeight="1" x14ac:dyDescent="0.2"/>
    <row r="434" ht="12.75" customHeight="1" x14ac:dyDescent="0.2"/>
    <row r="435" ht="24.75" customHeight="1" x14ac:dyDescent="0.2"/>
    <row r="436" ht="15" customHeight="1" x14ac:dyDescent="0.2"/>
    <row r="437" ht="14.25" customHeight="1" x14ac:dyDescent="0.2"/>
    <row r="438" ht="12.75" customHeight="1" x14ac:dyDescent="0.2"/>
    <row r="439" ht="12" customHeight="1" x14ac:dyDescent="0.2"/>
    <row r="440" ht="12" customHeight="1" x14ac:dyDescent="0.2"/>
    <row r="441" ht="12.75" customHeight="1" x14ac:dyDescent="0.2"/>
    <row r="442" ht="15.75" customHeight="1" x14ac:dyDescent="0.2"/>
    <row r="443" ht="14.25" customHeight="1" x14ac:dyDescent="0.2"/>
    <row r="444" ht="12" customHeight="1" x14ac:dyDescent="0.2"/>
    <row r="445" ht="14.25" customHeight="1" x14ac:dyDescent="0.2"/>
    <row r="446" ht="12.75" customHeight="1" x14ac:dyDescent="0.2"/>
    <row r="447" ht="12" customHeight="1" x14ac:dyDescent="0.2"/>
    <row r="448" ht="12" customHeight="1" x14ac:dyDescent="0.2"/>
    <row r="449" ht="12" customHeight="1" x14ac:dyDescent="0.2"/>
    <row r="450" ht="12" customHeight="1" x14ac:dyDescent="0.2"/>
    <row r="451" ht="15" customHeight="1" x14ac:dyDescent="0.2"/>
    <row r="452" ht="12" customHeight="1" x14ac:dyDescent="0.2"/>
    <row r="453" ht="12" customHeight="1" x14ac:dyDescent="0.2"/>
    <row r="454" ht="12" customHeight="1" x14ac:dyDescent="0.2"/>
    <row r="455" ht="12" customHeight="1" x14ac:dyDescent="0.2"/>
    <row r="456" ht="12.75" customHeight="1" x14ac:dyDescent="0.2"/>
    <row r="457" ht="15" customHeight="1" x14ac:dyDescent="0.2"/>
    <row r="458" ht="21" customHeight="1" x14ac:dyDescent="0.2"/>
    <row r="459" ht="21" customHeight="1" x14ac:dyDescent="0.2"/>
    <row r="460" ht="21" customHeight="1" x14ac:dyDescent="0.2"/>
    <row r="461" ht="21" customHeight="1" x14ac:dyDescent="0.2"/>
    <row r="462" ht="21" customHeight="1" x14ac:dyDescent="0.2"/>
    <row r="463" ht="21" customHeight="1" x14ac:dyDescent="0.2"/>
    <row r="464" ht="21" customHeight="1" x14ac:dyDescent="0.2"/>
    <row r="465" ht="21" customHeight="1" x14ac:dyDescent="0.2"/>
    <row r="466" ht="21" customHeight="1" x14ac:dyDescent="0.2"/>
    <row r="467" ht="21" customHeight="1" x14ac:dyDescent="0.2"/>
    <row r="468" ht="21" customHeight="1" x14ac:dyDescent="0.2"/>
    <row r="469" ht="21" customHeight="1" x14ac:dyDescent="0.2"/>
    <row r="470" ht="21" customHeight="1" x14ac:dyDescent="0.2"/>
    <row r="471" ht="21" customHeight="1" x14ac:dyDescent="0.2"/>
    <row r="472" ht="21" customHeight="1" x14ac:dyDescent="0.2"/>
    <row r="473" ht="21" customHeight="1" x14ac:dyDescent="0.2"/>
    <row r="474" ht="21" customHeight="1" x14ac:dyDescent="0.2"/>
    <row r="475" ht="21" customHeight="1" x14ac:dyDescent="0.2"/>
    <row r="476" ht="21" customHeight="1" x14ac:dyDescent="0.2"/>
    <row r="477" ht="21" customHeight="1" x14ac:dyDescent="0.2"/>
    <row r="478" ht="21" customHeight="1" x14ac:dyDescent="0.2"/>
    <row r="479" ht="21" customHeight="1" x14ac:dyDescent="0.2"/>
    <row r="480" ht="21" customHeight="1" x14ac:dyDescent="0.2"/>
    <row r="481" ht="21" customHeight="1" x14ac:dyDescent="0.2"/>
    <row r="482" ht="21" customHeight="1" x14ac:dyDescent="0.2"/>
    <row r="483" ht="21" customHeight="1" x14ac:dyDescent="0.2"/>
    <row r="484" ht="21" customHeight="1" x14ac:dyDescent="0.2"/>
    <row r="485" ht="21" customHeight="1" x14ac:dyDescent="0.2"/>
    <row r="486" ht="21" customHeight="1" x14ac:dyDescent="0.2"/>
    <row r="487" ht="21" customHeight="1" x14ac:dyDescent="0.2"/>
    <row r="488" ht="21" customHeight="1" x14ac:dyDescent="0.2"/>
    <row r="489" ht="21" customHeight="1" x14ac:dyDescent="0.2"/>
    <row r="490" ht="21" customHeight="1" x14ac:dyDescent="0.2"/>
    <row r="491" ht="21" customHeight="1" x14ac:dyDescent="0.2"/>
    <row r="492" ht="21" customHeight="1" x14ac:dyDescent="0.2"/>
    <row r="493" ht="21" customHeight="1" x14ac:dyDescent="0.2"/>
    <row r="494" ht="21" customHeight="1" x14ac:dyDescent="0.2"/>
    <row r="495" ht="21" customHeight="1" x14ac:dyDescent="0.2"/>
    <row r="496" ht="21" customHeight="1" x14ac:dyDescent="0.2"/>
    <row r="497" ht="21" customHeight="1" x14ac:dyDescent="0.2"/>
    <row r="498" ht="21" customHeight="1" x14ac:dyDescent="0.2"/>
    <row r="499" ht="21" customHeight="1" x14ac:dyDescent="0.2"/>
    <row r="500" ht="21" customHeight="1" x14ac:dyDescent="0.2"/>
    <row r="501" ht="21" customHeight="1" x14ac:dyDescent="0.2"/>
    <row r="502" ht="21" customHeight="1" x14ac:dyDescent="0.2"/>
    <row r="503" ht="21" customHeight="1" x14ac:dyDescent="0.2"/>
    <row r="504" ht="21" customHeight="1" x14ac:dyDescent="0.2"/>
    <row r="505" ht="21" customHeight="1" x14ac:dyDescent="0.2"/>
    <row r="506" ht="21" customHeight="1" x14ac:dyDescent="0.2"/>
    <row r="507" ht="21" customHeight="1" x14ac:dyDescent="0.2"/>
    <row r="508" ht="21" customHeight="1" x14ac:dyDescent="0.2"/>
    <row r="509" ht="21" customHeight="1" x14ac:dyDescent="0.2"/>
    <row r="510" ht="21" customHeight="1" x14ac:dyDescent="0.2"/>
    <row r="511" ht="21" customHeight="1" x14ac:dyDescent="0.2"/>
    <row r="512" ht="21" customHeight="1" x14ac:dyDescent="0.2"/>
    <row r="513" ht="21" customHeight="1" x14ac:dyDescent="0.2"/>
    <row r="514" ht="21" customHeight="1" x14ac:dyDescent="0.2"/>
    <row r="526" ht="26.25" customHeight="1" x14ac:dyDescent="0.2"/>
    <row r="2614" ht="17.25" customHeight="1" x14ac:dyDescent="0.2"/>
    <row r="2615" ht="17.25" customHeight="1" x14ac:dyDescent="0.2"/>
    <row r="2616" ht="17.25" customHeight="1" x14ac:dyDescent="0.2"/>
    <row r="2617" ht="23.25" customHeight="1" x14ac:dyDescent="0.2"/>
    <row r="2618" ht="12.75" customHeight="1" x14ac:dyDescent="0.2"/>
    <row r="2619" ht="24.75" customHeight="1" x14ac:dyDescent="0.2"/>
    <row r="2620" ht="15" customHeight="1" x14ac:dyDescent="0.2"/>
    <row r="2621" ht="14.25" customHeight="1" x14ac:dyDescent="0.2"/>
    <row r="2622" ht="12.75" customHeight="1" x14ac:dyDescent="0.2"/>
    <row r="2623" ht="12" customHeight="1" x14ac:dyDescent="0.2"/>
    <row r="2624" ht="12" customHeight="1" x14ac:dyDescent="0.2"/>
    <row r="2625" ht="12.75" customHeight="1" x14ac:dyDescent="0.2"/>
    <row r="2626" ht="15.75" customHeight="1" x14ac:dyDescent="0.2"/>
    <row r="2627" ht="14.25" customHeight="1" x14ac:dyDescent="0.2"/>
    <row r="2628" ht="12" customHeight="1" x14ac:dyDescent="0.2"/>
    <row r="2629" ht="14.25" customHeight="1" x14ac:dyDescent="0.2"/>
    <row r="2630" ht="12.75" customHeight="1" x14ac:dyDescent="0.2"/>
    <row r="2631" ht="12" customHeight="1" x14ac:dyDescent="0.2"/>
    <row r="2632" ht="12" customHeight="1" x14ac:dyDescent="0.2"/>
    <row r="2633" ht="12" customHeight="1" x14ac:dyDescent="0.2"/>
    <row r="2634" ht="12" customHeight="1" x14ac:dyDescent="0.2"/>
    <row r="2635" ht="15" customHeight="1" x14ac:dyDescent="0.2"/>
    <row r="2636" ht="12" customHeight="1" x14ac:dyDescent="0.2"/>
    <row r="2637" ht="12" customHeight="1" x14ac:dyDescent="0.2"/>
    <row r="2638" ht="12" customHeight="1" x14ac:dyDescent="0.2"/>
    <row r="2639" ht="12" customHeight="1" x14ac:dyDescent="0.2"/>
    <row r="2640" ht="12.75" customHeight="1" x14ac:dyDescent="0.2"/>
    <row r="2641" ht="15" customHeight="1" x14ac:dyDescent="0.2"/>
    <row r="2642" ht="17.25" customHeight="1" x14ac:dyDescent="0.2"/>
    <row r="2643" ht="17.25" customHeight="1" x14ac:dyDescent="0.2"/>
    <row r="2644" ht="17.25" customHeight="1" x14ac:dyDescent="0.2"/>
    <row r="2645" ht="23.25" customHeight="1" x14ac:dyDescent="0.2"/>
    <row r="2646" ht="12.75" customHeight="1" x14ac:dyDescent="0.2"/>
    <row r="2647" ht="24.75" customHeight="1" x14ac:dyDescent="0.2"/>
    <row r="2648" ht="15" customHeight="1" x14ac:dyDescent="0.2"/>
    <row r="2649" ht="14.25" customHeight="1" x14ac:dyDescent="0.2"/>
    <row r="2650" ht="12.75" customHeight="1" x14ac:dyDescent="0.2"/>
    <row r="2651" ht="12" customHeight="1" x14ac:dyDescent="0.2"/>
    <row r="2652" ht="12" customHeight="1" x14ac:dyDescent="0.2"/>
    <row r="2653" ht="12.75" customHeight="1" x14ac:dyDescent="0.2"/>
    <row r="2654" ht="15.75" customHeight="1" x14ac:dyDescent="0.2"/>
    <row r="2655" ht="14.25" customHeight="1" x14ac:dyDescent="0.2"/>
    <row r="2656" ht="12" customHeight="1" x14ac:dyDescent="0.2"/>
    <row r="2657" ht="14.25" customHeight="1" x14ac:dyDescent="0.2"/>
    <row r="2658" ht="12.75" customHeight="1" x14ac:dyDescent="0.2"/>
    <row r="2659" ht="12" customHeight="1" x14ac:dyDescent="0.2"/>
    <row r="2660" ht="12" customHeight="1" x14ac:dyDescent="0.2"/>
    <row r="2661" ht="12" customHeight="1" x14ac:dyDescent="0.2"/>
    <row r="2662" ht="12" customHeight="1" x14ac:dyDescent="0.2"/>
    <row r="2663" ht="15" customHeight="1" x14ac:dyDescent="0.2"/>
    <row r="2664" ht="12" customHeight="1" x14ac:dyDescent="0.2"/>
    <row r="2665" ht="12" customHeight="1" x14ac:dyDescent="0.2"/>
    <row r="2666" ht="12" customHeight="1" x14ac:dyDescent="0.2"/>
    <row r="2667" ht="12" customHeight="1" x14ac:dyDescent="0.2"/>
    <row r="2668" ht="12.75" customHeight="1" x14ac:dyDescent="0.2"/>
    <row r="2669" ht="15" customHeight="1" x14ac:dyDescent="0.2"/>
  </sheetData>
  <mergeCells count="31">
    <mergeCell ref="B94:F94"/>
    <mergeCell ref="G94:H94"/>
    <mergeCell ref="A95:B95"/>
    <mergeCell ref="D95:E95"/>
    <mergeCell ref="B106:E106"/>
    <mergeCell ref="B66:F66"/>
    <mergeCell ref="G66:H66"/>
    <mergeCell ref="A67:B67"/>
    <mergeCell ref="D67:E67"/>
    <mergeCell ref="B78:E78"/>
    <mergeCell ref="B38:F38"/>
    <mergeCell ref="G38:H38"/>
    <mergeCell ref="A39:B39"/>
    <mergeCell ref="D39:E39"/>
    <mergeCell ref="B50:E50"/>
    <mergeCell ref="A5:B5"/>
    <mergeCell ref="C5:D5"/>
    <mergeCell ref="J2:K2"/>
    <mergeCell ref="E5:F5"/>
    <mergeCell ref="J3:K3"/>
    <mergeCell ref="G8:H8"/>
    <mergeCell ref="J11:K11"/>
    <mergeCell ref="J36:K36"/>
    <mergeCell ref="J21:K21"/>
    <mergeCell ref="J31:K31"/>
    <mergeCell ref="J16:K16"/>
    <mergeCell ref="B10:F10"/>
    <mergeCell ref="G10:H10"/>
    <mergeCell ref="A11:B11"/>
    <mergeCell ref="D11:E11"/>
    <mergeCell ref="B22:E22"/>
  </mergeCells>
  <dataValidations count="16">
    <dataValidation type="list" allowBlank="1" showInputMessage="1" showErrorMessage="1" sqref="B4:B5 D4:D5 F4:F5 B16 E16 B44 E44 B72 E72 B100 E100" xr:uid="{35CDA0D1-6B84-42FD-9F00-26FAA514011A}">
      <formula1>Cards_List</formula1>
    </dataValidation>
    <dataValidation type="list" allowBlank="1" showInputMessage="1" showErrorMessage="1" sqref="B15 E15 B43 E43 B71 E71 B99 E99" xr:uid="{CD7C84ED-1ED9-4E5C-8513-DC0C6979D422}">
      <formula1>CardTypes_List</formula1>
    </dataValidation>
    <dataValidation type="list" allowBlank="1" showInputMessage="1" showErrorMessage="1" sqref="B17 E17 B45 E45 B73 E73 B101 E101" xr:uid="{6ADDC395-11B6-4E61-AD5C-DD3524757796}">
      <formula1>Devices_List</formula1>
    </dataValidation>
    <dataValidation type="list" allowBlank="1" showInputMessage="1" showErrorMessage="1" sqref="B12 E12 B40 E40 B68 E68 B96 E96" xr:uid="{02BB019A-03B2-4DB0-A5FA-9AE1810A25EB}">
      <formula1>ConditionSources_List</formula1>
    </dataValidation>
    <dataValidation type="list" allowBlank="1" showInputMessage="1" showErrorMessage="1" sqref="B13 E13 H15 H22 B41 E41 H43 H50 B69 E69 H71 H78 B97 E97 H99 H106" xr:uid="{A6A9B2B7-3798-4A1C-A9C7-EB5EDAC2327E}">
      <formula1>ConditionTriggers_List</formula1>
    </dataValidation>
    <dataValidation type="list" allowBlank="1" showInputMessage="1" showErrorMessage="1" sqref="K18 K28 B14 E14 H16 H23 B42 E42 H44 H51 B70 E70 H72 H79 B98 E98 H100 H107" xr:uid="{EAB04A73-576C-4624-B3E8-3086B7E50FE1}">
      <formula1>TrackSpeeds_List</formula1>
    </dataValidation>
    <dataValidation type="list" allowBlank="1" showInputMessage="1" showErrorMessage="1" sqref="K17 K27 K37" xr:uid="{ECB99872-2A10-4FD7-88C1-BCA637B9A697}">
      <formula1>RulesName_List</formula1>
    </dataValidation>
    <dataValidation type="list" allowBlank="1" showInputMessage="1" showErrorMessage="1" sqref="B6 D6 F6" xr:uid="{78B22EB5-99C9-4457-B70E-740396927AD1}">
      <formula1>LampSelection_List</formula1>
    </dataValidation>
    <dataValidation type="list" allowBlank="1" showInputMessage="1" showErrorMessage="1" sqref="K19 B6 K29 D6 F6" xr:uid="{8C126655-28C5-4DC0-8D19-FE6FA7136CE2}">
      <formula1>AspectIndicators_List</formula1>
    </dataValidation>
    <dataValidation type="list" allowBlank="1" showInputMessage="1" showErrorMessage="1" sqref="K9" xr:uid="{166658D5-3C18-4149-BA2B-F9D1BBC54966}">
      <formula1>CardBus_List</formula1>
    </dataValidation>
    <dataValidation type="list" allowBlank="1" showInputMessage="1" showErrorMessage="1" sqref="K10" xr:uid="{F56C7144-7D5C-4460-8985-B2E04979D0BC}">
      <formula1>CardAddress_List</formula1>
    </dataValidation>
    <dataValidation type="list" allowBlank="1" showInputMessage="1" showErrorMessage="1" sqref="H12 H40 H68 H96" xr:uid="{47B693C0-DD13-4F3E-82B7-6E06B5CE003F}">
      <formula1>GroupFunctions_List</formula1>
    </dataValidation>
    <dataValidation type="list" allowBlank="1" showInputMessage="1" showErrorMessage="1" sqref="C12 C40 C68 C96" xr:uid="{1597B228-67BB-433A-BBF5-7EC2F58095E1}">
      <formula1>LogicOperations_List</formula1>
    </dataValidation>
    <dataValidation type="list" allowBlank="1" showInputMessage="1" showErrorMessage="1" sqref="H27:H28 H55:H56 H83:H84 H111:H112" xr:uid="{A1102F63-CA1E-4AA6-A326-98663C7855D2}">
      <formula1>GroupProcessing_List</formula1>
    </dataValidation>
    <dataValidation type="list" allowBlank="1" showInputMessage="1" showErrorMessage="1" sqref="H35 H63 H91 H119" xr:uid="{3088E116-BA3F-4362-9CBD-6F4D50A89194}">
      <formula1>ActionTriggers_List</formula1>
    </dataValidation>
    <dataValidation type="list" allowBlank="1" showInputMessage="1" showErrorMessage="1" sqref="H36 H64 H92 H120" xr:uid="{FF11C101-FB7B-42A8-98AB-2904FC9FC967}">
      <formula1>SetAspectEventId_List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Delete">
                <anchor moveWithCells="1" sizeWithCells="1">
                  <from>
                    <xdr:col>3</xdr:col>
                    <xdr:colOff>38100</xdr:colOff>
                    <xdr:row>0</xdr:row>
                    <xdr:rowOff>28575</xdr:rowOff>
                  </from>
                  <to>
                    <xdr:col>4</xdr:col>
                    <xdr:colOff>57150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dd">
                <anchor moveWithCells="1" sizeWithCells="1">
                  <from>
                    <xdr:col>2</xdr:col>
                    <xdr:colOff>152400</xdr:colOff>
                    <xdr:row>0</xdr:row>
                    <xdr:rowOff>28575</xdr:rowOff>
                  </from>
                  <to>
                    <xdr:col>2</xdr:col>
                    <xdr:colOff>1524000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_xludf.Move">
                <anchor moveWithCells="1" sizeWithCells="1">
                  <from>
                    <xdr:col>3</xdr:col>
                    <xdr:colOff>9525</xdr:colOff>
                    <xdr:row>2</xdr:row>
                    <xdr:rowOff>38100</xdr:rowOff>
                  </from>
                  <to>
                    <xdr:col>4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_xludf.Copy">
                <anchor moveWithCells="1" sizeWithCells="1">
                  <from>
                    <xdr:col>2</xdr:col>
                    <xdr:colOff>152400</xdr:colOff>
                    <xdr:row>2</xdr:row>
                    <xdr:rowOff>38100</xdr:rowOff>
                  </from>
                  <to>
                    <xdr:col>2</xdr:col>
                    <xdr:colOff>1524000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8BA9-7268-4330-AEB5-D02B45AC249F}">
  <sheetPr codeName="Sheet2"/>
  <dimension ref="A1:L44"/>
  <sheetViews>
    <sheetView workbookViewId="0">
      <selection activeCell="C42" sqref="C42"/>
    </sheetView>
  </sheetViews>
  <sheetFormatPr defaultRowHeight="12" x14ac:dyDescent="0.2"/>
  <cols>
    <col min="1" max="1" width="33.5" style="1" customWidth="1"/>
    <col min="2" max="2" width="2.875" style="1" customWidth="1"/>
    <col min="3" max="3" width="13.5" style="1" customWidth="1"/>
    <col min="4" max="4" width="2.125" style="1" customWidth="1"/>
    <col min="5" max="5" width="28.25" style="1" customWidth="1"/>
    <col min="6" max="6" width="3.625" style="2" customWidth="1"/>
    <col min="7" max="7" width="28.625" style="1" customWidth="1"/>
    <col min="8" max="8" width="3.5" style="1" customWidth="1"/>
    <col min="9" max="9" width="11.75" style="2" customWidth="1"/>
    <col min="10" max="10" width="2.875" style="1" customWidth="1"/>
    <col min="11" max="11" width="9" style="1"/>
    <col min="12" max="12" width="17.625" style="1" customWidth="1"/>
    <col min="13" max="16384" width="9" style="1"/>
  </cols>
  <sheetData>
    <row r="1" spans="1:12" x14ac:dyDescent="0.2">
      <c r="A1" s="1" t="s">
        <v>8</v>
      </c>
      <c r="C1" s="1" t="s">
        <v>9</v>
      </c>
      <c r="E1" s="1" t="s">
        <v>81</v>
      </c>
      <c r="F1" s="1"/>
      <c r="G1" s="1" t="s">
        <v>136</v>
      </c>
      <c r="I1" s="1" t="s">
        <v>102</v>
      </c>
      <c r="K1" s="1" t="s">
        <v>207</v>
      </c>
      <c r="L1" s="1" t="s">
        <v>211</v>
      </c>
    </row>
    <row r="2" spans="1:12" x14ac:dyDescent="0.2">
      <c r="A2" s="1" t="s">
        <v>0</v>
      </c>
      <c r="C2" s="1" t="s">
        <v>10</v>
      </c>
      <c r="E2" s="1" t="s">
        <v>79</v>
      </c>
      <c r="F2" s="1"/>
      <c r="G2" s="1" t="s">
        <v>137</v>
      </c>
      <c r="I2" s="1" t="s">
        <v>145</v>
      </c>
      <c r="K2" s="1" t="s">
        <v>208</v>
      </c>
      <c r="L2" s="1" t="str">
        <f>'Signal Example 1'!B8</f>
        <v>05.01.01.01.5C.65.05.00</v>
      </c>
    </row>
    <row r="3" spans="1:12" x14ac:dyDescent="0.2">
      <c r="A3" s="1" t="s">
        <v>7</v>
      </c>
      <c r="C3" s="1" t="s">
        <v>11</v>
      </c>
      <c r="E3" s="1" t="s">
        <v>71</v>
      </c>
      <c r="F3" s="1"/>
      <c r="G3" s="1" t="s">
        <v>138</v>
      </c>
      <c r="I3" s="1" t="s">
        <v>146</v>
      </c>
      <c r="K3" s="1" t="s">
        <v>209</v>
      </c>
      <c r="L3" s="1" t="str">
        <f>'Signal Example 1'!D8</f>
        <v>05.01.01.01.5C.65.05.03</v>
      </c>
    </row>
    <row r="4" spans="1:12" x14ac:dyDescent="0.2">
      <c r="A4" s="1" t="s">
        <v>1</v>
      </c>
      <c r="C4" s="1" t="s">
        <v>12</v>
      </c>
      <c r="E4" s="1" t="s">
        <v>72</v>
      </c>
      <c r="F4" s="1"/>
      <c r="G4" s="1" t="s">
        <v>139</v>
      </c>
      <c r="I4" s="1" t="s">
        <v>147</v>
      </c>
      <c r="K4" s="1" t="s">
        <v>210</v>
      </c>
      <c r="L4" s="1" t="str">
        <f>'Signal Example 1'!F8</f>
        <v>05.01.01.01.5C.65.05.06</v>
      </c>
    </row>
    <row r="5" spans="1:12" x14ac:dyDescent="0.2">
      <c r="A5" s="1" t="s">
        <v>2</v>
      </c>
      <c r="C5" s="1" t="s">
        <v>13</v>
      </c>
      <c r="E5" s="1" t="s">
        <v>73</v>
      </c>
      <c r="F5" s="1"/>
      <c r="G5" s="1" t="s">
        <v>140</v>
      </c>
      <c r="I5" s="1" t="s">
        <v>148</v>
      </c>
    </row>
    <row r="6" spans="1:12" x14ac:dyDescent="0.2">
      <c r="A6" s="1" t="s">
        <v>3</v>
      </c>
      <c r="C6" s="1" t="s">
        <v>14</v>
      </c>
      <c r="E6" s="1" t="s">
        <v>74</v>
      </c>
      <c r="F6" s="1"/>
      <c r="G6" s="1" t="s">
        <v>141</v>
      </c>
      <c r="I6" s="1" t="s">
        <v>149</v>
      </c>
    </row>
    <row r="7" spans="1:12" x14ac:dyDescent="0.2">
      <c r="A7" s="1" t="s">
        <v>4</v>
      </c>
      <c r="C7" s="1" t="s">
        <v>15</v>
      </c>
      <c r="E7" s="1" t="s">
        <v>75</v>
      </c>
      <c r="F7" s="1"/>
      <c r="G7" s="1" t="s">
        <v>142</v>
      </c>
      <c r="I7" s="1" t="s">
        <v>150</v>
      </c>
    </row>
    <row r="8" spans="1:12" x14ac:dyDescent="0.2">
      <c r="A8" s="1" t="s">
        <v>5</v>
      </c>
      <c r="C8" s="1" t="s">
        <v>16</v>
      </c>
      <c r="E8" s="1" t="s">
        <v>76</v>
      </c>
      <c r="F8" s="1"/>
      <c r="G8" s="1" t="s">
        <v>143</v>
      </c>
      <c r="I8" s="1" t="s">
        <v>151</v>
      </c>
    </row>
    <row r="9" spans="1:12" x14ac:dyDescent="0.2">
      <c r="A9" s="1" t="s">
        <v>6</v>
      </c>
      <c r="E9" s="1" t="s">
        <v>77</v>
      </c>
      <c r="F9" s="1"/>
      <c r="G9" s="1" t="s">
        <v>144</v>
      </c>
      <c r="I9" s="1" t="s">
        <v>152</v>
      </c>
    </row>
    <row r="10" spans="1:12" x14ac:dyDescent="0.2">
      <c r="E10" s="1" t="s">
        <v>78</v>
      </c>
      <c r="F10" s="1"/>
      <c r="I10" s="1" t="s">
        <v>153</v>
      </c>
    </row>
    <row r="11" spans="1:12" x14ac:dyDescent="0.2">
      <c r="I11" s="1" t="s">
        <v>154</v>
      </c>
    </row>
    <row r="12" spans="1:12" x14ac:dyDescent="0.2">
      <c r="A12" s="1" t="s">
        <v>80</v>
      </c>
      <c r="C12" s="1" t="s">
        <v>27</v>
      </c>
      <c r="E12" s="1" t="s">
        <v>82</v>
      </c>
      <c r="F12" s="1"/>
      <c r="G12" s="1" t="s">
        <v>103</v>
      </c>
      <c r="I12" s="1" t="s">
        <v>155</v>
      </c>
    </row>
    <row r="13" spans="1:12" x14ac:dyDescent="0.2">
      <c r="A13" s="1" t="s">
        <v>64</v>
      </c>
      <c r="C13" s="1" t="s">
        <v>28</v>
      </c>
      <c r="E13" s="1" t="s">
        <v>83</v>
      </c>
      <c r="F13" s="1"/>
      <c r="G13" s="1" t="s">
        <v>104</v>
      </c>
      <c r="I13" s="1" t="s">
        <v>156</v>
      </c>
    </row>
    <row r="14" spans="1:12" x14ac:dyDescent="0.2">
      <c r="A14" s="1" t="s">
        <v>65</v>
      </c>
      <c r="C14" s="1" t="s">
        <v>29</v>
      </c>
      <c r="E14" s="1" t="s">
        <v>84</v>
      </c>
      <c r="F14" s="1"/>
      <c r="G14" s="1" t="s">
        <v>105</v>
      </c>
      <c r="I14" s="1" t="s">
        <v>157</v>
      </c>
    </row>
    <row r="15" spans="1:12" x14ac:dyDescent="0.2">
      <c r="A15" s="1" t="s">
        <v>66</v>
      </c>
      <c r="C15" s="1" t="s">
        <v>30</v>
      </c>
      <c r="E15" s="1" t="s">
        <v>10</v>
      </c>
      <c r="F15" s="1"/>
      <c r="G15" s="1" t="s">
        <v>106</v>
      </c>
      <c r="I15" s="1" t="s">
        <v>158</v>
      </c>
    </row>
    <row r="16" spans="1:12" x14ac:dyDescent="0.2">
      <c r="A16" s="1" t="s">
        <v>67</v>
      </c>
      <c r="C16" s="1" t="s">
        <v>31</v>
      </c>
      <c r="D16" s="2"/>
      <c r="F16" s="1"/>
      <c r="G16" s="1" t="s">
        <v>107</v>
      </c>
      <c r="I16" s="1" t="s">
        <v>159</v>
      </c>
    </row>
    <row r="17" spans="1:9" x14ac:dyDescent="0.2">
      <c r="A17" s="1" t="s">
        <v>68</v>
      </c>
      <c r="C17" s="1" t="s">
        <v>32</v>
      </c>
      <c r="D17" s="2"/>
      <c r="E17" s="1" t="s">
        <v>46</v>
      </c>
      <c r="F17" s="1"/>
      <c r="G17" s="1" t="s">
        <v>108</v>
      </c>
      <c r="I17" s="1" t="s">
        <v>160</v>
      </c>
    </row>
    <row r="18" spans="1:9" x14ac:dyDescent="0.2">
      <c r="A18" s="1" t="s">
        <v>69</v>
      </c>
      <c r="C18" s="1" t="s">
        <v>33</v>
      </c>
      <c r="D18" s="2"/>
      <c r="E18" s="1" t="s">
        <v>47</v>
      </c>
      <c r="F18" s="1"/>
      <c r="G18" s="1" t="s">
        <v>109</v>
      </c>
      <c r="I18" s="1" t="s">
        <v>161</v>
      </c>
    </row>
    <row r="19" spans="1:9" x14ac:dyDescent="0.2">
      <c r="A19" s="1" t="s">
        <v>63</v>
      </c>
      <c r="C19" s="1" t="s">
        <v>34</v>
      </c>
      <c r="D19" s="2"/>
      <c r="E19" s="1" t="s">
        <v>48</v>
      </c>
      <c r="F19" s="1"/>
      <c r="G19" s="1" t="s">
        <v>110</v>
      </c>
      <c r="I19" s="1"/>
    </row>
    <row r="20" spans="1:9" x14ac:dyDescent="0.2">
      <c r="A20" s="1" t="s">
        <v>70</v>
      </c>
      <c r="C20" s="1" t="s">
        <v>35</v>
      </c>
      <c r="D20" s="2"/>
      <c r="E20" s="1" t="s">
        <v>49</v>
      </c>
      <c r="F20" s="1"/>
      <c r="G20" s="1" t="s">
        <v>111</v>
      </c>
      <c r="I20" s="1"/>
    </row>
    <row r="21" spans="1:9" x14ac:dyDescent="0.2">
      <c r="A21" s="1" t="s">
        <v>22</v>
      </c>
      <c r="E21" s="1" t="s">
        <v>50</v>
      </c>
      <c r="F21" s="1"/>
      <c r="G21" s="1" t="s">
        <v>112</v>
      </c>
      <c r="H21" s="2"/>
      <c r="I21" s="1"/>
    </row>
    <row r="22" spans="1:9" x14ac:dyDescent="0.2">
      <c r="C22" s="1" t="s">
        <v>41</v>
      </c>
      <c r="E22" s="1" t="s">
        <v>51</v>
      </c>
      <c r="F22" s="1"/>
      <c r="G22" s="1" t="s">
        <v>113</v>
      </c>
      <c r="H22" s="2"/>
      <c r="I22" s="1"/>
    </row>
    <row r="23" spans="1:9" x14ac:dyDescent="0.2">
      <c r="A23" s="1" t="s">
        <v>17</v>
      </c>
      <c r="C23" s="1" t="s">
        <v>42</v>
      </c>
      <c r="E23" s="1" t="s">
        <v>52</v>
      </c>
      <c r="F23" s="1"/>
      <c r="G23" s="1" t="s">
        <v>114</v>
      </c>
      <c r="H23" s="2"/>
      <c r="I23" s="1"/>
    </row>
    <row r="24" spans="1:9" x14ac:dyDescent="0.2">
      <c r="A24" s="1" t="s">
        <v>18</v>
      </c>
      <c r="C24" s="1" t="s">
        <v>43</v>
      </c>
      <c r="E24" s="1" t="s">
        <v>53</v>
      </c>
      <c r="F24" s="1"/>
      <c r="G24" s="1" t="s">
        <v>115</v>
      </c>
      <c r="H24" s="2"/>
      <c r="I24" s="1"/>
    </row>
    <row r="25" spans="1:9" x14ac:dyDescent="0.2">
      <c r="A25" s="1" t="s">
        <v>19</v>
      </c>
      <c r="C25" s="1" t="s">
        <v>44</v>
      </c>
      <c r="E25" s="1" t="s">
        <v>54</v>
      </c>
      <c r="F25" s="1"/>
      <c r="G25" s="1" t="s">
        <v>116</v>
      </c>
      <c r="H25" s="2"/>
      <c r="I25" s="1"/>
    </row>
    <row r="26" spans="1:9" x14ac:dyDescent="0.2">
      <c r="A26" s="1" t="s">
        <v>20</v>
      </c>
      <c r="F26" s="1"/>
      <c r="G26" s="1" t="s">
        <v>117</v>
      </c>
      <c r="H26" s="2"/>
      <c r="I26" s="1"/>
    </row>
    <row r="27" spans="1:9" x14ac:dyDescent="0.2">
      <c r="A27" s="1" t="s">
        <v>21</v>
      </c>
      <c r="C27" s="1" t="s">
        <v>174</v>
      </c>
      <c r="F27" s="1"/>
      <c r="G27" s="1" t="s">
        <v>118</v>
      </c>
      <c r="H27" s="2"/>
      <c r="I27" s="1"/>
    </row>
    <row r="28" spans="1:9" x14ac:dyDescent="0.2">
      <c r="C28" s="1" t="s">
        <v>175</v>
      </c>
      <c r="F28" s="1"/>
      <c r="G28" s="1" t="s">
        <v>119</v>
      </c>
      <c r="H28" s="2"/>
      <c r="I28" s="1"/>
    </row>
    <row r="29" spans="1:9" x14ac:dyDescent="0.2">
      <c r="A29" s="1" t="s">
        <v>23</v>
      </c>
      <c r="C29" s="1" t="s">
        <v>176</v>
      </c>
      <c r="F29" s="1"/>
      <c r="G29" s="1" t="s">
        <v>120</v>
      </c>
      <c r="H29" s="2"/>
      <c r="I29" s="1"/>
    </row>
    <row r="30" spans="1:9" x14ac:dyDescent="0.2">
      <c r="A30" s="1" t="s">
        <v>24</v>
      </c>
      <c r="F30" s="1"/>
      <c r="G30" s="1" t="s">
        <v>121</v>
      </c>
      <c r="H30" s="2"/>
      <c r="I30" s="1"/>
    </row>
    <row r="31" spans="1:9" x14ac:dyDescent="0.2">
      <c r="A31" s="1" t="s">
        <v>25</v>
      </c>
      <c r="C31" s="1" t="s">
        <v>177</v>
      </c>
      <c r="G31" s="1" t="s">
        <v>122</v>
      </c>
    </row>
    <row r="32" spans="1:9" x14ac:dyDescent="0.2">
      <c r="A32" s="1" t="s">
        <v>26</v>
      </c>
      <c r="C32" s="1" t="s">
        <v>178</v>
      </c>
      <c r="G32" s="1" t="s">
        <v>123</v>
      </c>
    </row>
    <row r="33" spans="3:7" x14ac:dyDescent="0.2">
      <c r="C33" s="1" t="s">
        <v>179</v>
      </c>
      <c r="G33" s="1" t="s">
        <v>124</v>
      </c>
    </row>
    <row r="34" spans="3:7" x14ac:dyDescent="0.2">
      <c r="C34" s="1" t="s">
        <v>180</v>
      </c>
      <c r="G34" s="1" t="s">
        <v>125</v>
      </c>
    </row>
    <row r="35" spans="3:7" x14ac:dyDescent="0.2">
      <c r="C35" s="1" t="s">
        <v>181</v>
      </c>
      <c r="G35" s="1" t="s">
        <v>126</v>
      </c>
    </row>
    <row r="36" spans="3:7" x14ac:dyDescent="0.2">
      <c r="C36" s="1" t="s">
        <v>182</v>
      </c>
      <c r="G36" s="1" t="s">
        <v>127</v>
      </c>
    </row>
    <row r="37" spans="3:7" x14ac:dyDescent="0.2">
      <c r="C37" s="1" t="s">
        <v>183</v>
      </c>
      <c r="G37" s="1" t="s">
        <v>128</v>
      </c>
    </row>
    <row r="38" spans="3:7" x14ac:dyDescent="0.2">
      <c r="C38" s="1" t="s">
        <v>184</v>
      </c>
      <c r="G38" s="1" t="s">
        <v>129</v>
      </c>
    </row>
    <row r="39" spans="3:7" x14ac:dyDescent="0.2">
      <c r="C39" s="1" t="s">
        <v>185</v>
      </c>
      <c r="G39" s="1" t="s">
        <v>130</v>
      </c>
    </row>
    <row r="40" spans="3:7" x14ac:dyDescent="0.2">
      <c r="G40" s="1" t="s">
        <v>131</v>
      </c>
    </row>
    <row r="41" spans="3:7" x14ac:dyDescent="0.2">
      <c r="G41" s="1" t="s">
        <v>132</v>
      </c>
    </row>
    <row r="42" spans="3:7" x14ac:dyDescent="0.2">
      <c r="G42" s="1" t="s">
        <v>133</v>
      </c>
    </row>
    <row r="43" spans="3:7" x14ac:dyDescent="0.2">
      <c r="G43" s="1" t="s">
        <v>134</v>
      </c>
    </row>
    <row r="44" spans="3:7" x14ac:dyDescent="0.2">
      <c r="G44" s="1" t="s">
        <v>135</v>
      </c>
    </row>
  </sheetData>
  <phoneticPr fontId="1" type="noConversion"/>
  <pageMargins left="0.7" right="0.7" top="0.75" bottom="0.75" header="0.3" footer="0.3"/>
  <tableParts count="1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Signal Example 1</vt:lpstr>
      <vt:lpstr>SelectionLists</vt:lpstr>
      <vt:lpstr>ActionTriggers_List</vt:lpstr>
      <vt:lpstr>AspectIndicators_List</vt:lpstr>
      <vt:lpstr>CardAddress_List</vt:lpstr>
      <vt:lpstr>CardBus_List</vt:lpstr>
      <vt:lpstr>Cards_List</vt:lpstr>
      <vt:lpstr>CardTypes_List</vt:lpstr>
      <vt:lpstr>ConditionSources_List</vt:lpstr>
      <vt:lpstr>ConditionTriggers_List</vt:lpstr>
      <vt:lpstr>Devices_List</vt:lpstr>
      <vt:lpstr>GroupFunctions_List</vt:lpstr>
      <vt:lpstr>GroupProcessing_List</vt:lpstr>
      <vt:lpstr>LampSelection_List</vt:lpstr>
      <vt:lpstr>LogicOperations_List</vt:lpstr>
      <vt:lpstr>RulesName_List</vt:lpstr>
      <vt:lpstr>SetAspectEventId_List</vt:lpstr>
      <vt:lpstr>TrackSpeeds_List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 Fleming</dc:creator>
  <cp:lastModifiedBy>Pat Fleming</cp:lastModifiedBy>
  <dcterms:created xsi:type="dcterms:W3CDTF">2024-04-02T16:07:25Z</dcterms:created>
  <dcterms:modified xsi:type="dcterms:W3CDTF">2024-04-09T15:52:57Z</dcterms:modified>
</cp:coreProperties>
</file>