
<file path=[Content_Types].xml><?xml version="1.0" encoding="utf-8"?>
<Types xmlns="http://schemas.openxmlformats.org/package/2006/content-types">
  <Default Extension="bin" ContentType="application/vnd.ms-office.vbaProject"/>
  <Default Extension="gif" ContentType="image/gi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atfl\Documents\GitHub\LccFusionProject\_planning\"/>
    </mc:Choice>
  </mc:AlternateContent>
  <xr:revisionPtr revIDLastSave="0" documentId="13_ncr:1_{670BAEC4-B697-4735-BC15-DD39C843CAA9}" xr6:coauthVersionLast="47" xr6:coauthVersionMax="47" xr10:uidLastSave="{00000000-0000-0000-0000-000000000000}"/>
  <bookViews>
    <workbookView xWindow="28680" yWindow="-900" windowWidth="29040" windowHeight="15720" xr2:uid="{B3F6AEAD-C5F1-4BC6-BE39-89B28D53403F}"/>
  </bookViews>
  <sheets>
    <sheet name="Signal Example 1" sheetId="2" r:id="rId1"/>
    <sheet name="SelectionLists" sheetId="1" r:id="rId2"/>
  </sheets>
  <definedNames>
    <definedName name="ActionTriggers_List">ActionTriggers_Table[Action Triggers]</definedName>
    <definedName name="AspectIndicators_List">SelectionLists!$G$2:$G$9</definedName>
    <definedName name="CardAddress_List">SelectionLists!$C$32:$C$39</definedName>
    <definedName name="CardBus_List">CardBus_Table[Card Bus]</definedName>
    <definedName name="Cards_List">Cards_Table[Cards]</definedName>
    <definedName name="CardTypes_List">CardTypes_Table[Card Types]</definedName>
    <definedName name="ConditionSources_List">ConditionSources_Table[Condition Sources]</definedName>
    <definedName name="ConditionTriggers_List">ConditionTriggers_Table[Condition Triggers]</definedName>
    <definedName name="Devices_List">Devices_Table[Devices]</definedName>
    <definedName name="Fade_List">SelectionLists!$E$33:$E$34</definedName>
    <definedName name="GroupFunctions_List">GroupFunctions_Table[Group Functions]</definedName>
    <definedName name="GroupProcessing_List">GroupProcessing_Table[Group Processing Actions]</definedName>
    <definedName name="LampSelection_List">SelectionLists!$I$2:$I$18</definedName>
    <definedName name="LogicOperation">'Signal Example 1'!#REF!</definedName>
    <definedName name="LogicOperations_List">LogicOperations_Table[Logic Operations]</definedName>
    <definedName name="MastOperational_List">MastOperational_Table[Mast Operational]</definedName>
    <definedName name="Phase_List">SelectionLists!$E$37:$E$44</definedName>
    <definedName name="RulesName_List">RuleNames_Table[Rule Names]</definedName>
    <definedName name="SetAspectEventId_List">#REF!</definedName>
    <definedName name="TrackSpeeds_List">SelectionLists!$A$2:$A$9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31" i="2" l="1"/>
  <c r="I30" i="2"/>
  <c r="I29" i="2"/>
  <c r="I28" i="2"/>
  <c r="I27" i="2"/>
  <c r="I24" i="2"/>
  <c r="I23" i="2"/>
  <c r="I20" i="2"/>
  <c r="I17" i="2"/>
  <c r="M9" i="2"/>
  <c r="M8" i="2"/>
  <c r="H23" i="2"/>
  <c r="H16" i="2"/>
  <c r="I16" i="2" s="1"/>
  <c r="H13" i="2"/>
  <c r="I13" i="2" s="1"/>
  <c r="H12" i="2"/>
  <c r="I12" i="2" s="1"/>
  <c r="H36" i="2"/>
  <c r="H37" i="2" s="1" a="1"/>
  <c r="H37" i="2" s="1"/>
  <c r="I37" i="2" s="1"/>
  <c r="H33" i="2"/>
  <c r="H34" i="2" s="1" a="1"/>
  <c r="H34" i="2" s="1"/>
  <c r="I34" i="2" s="1"/>
  <c r="H28" i="2"/>
  <c r="H27" i="2"/>
  <c r="H24" i="2"/>
  <c r="H17" i="2"/>
  <c r="M23" i="2"/>
  <c r="M24" i="2"/>
  <c r="M18" i="2"/>
  <c r="M16" i="2"/>
  <c r="M17" i="2"/>
  <c r="M31" i="2"/>
  <c r="M30" i="2"/>
  <c r="M29" i="2"/>
  <c r="M28" i="2"/>
  <c r="M26" i="2"/>
  <c r="M25" i="2"/>
  <c r="M14" i="2"/>
  <c r="M12" i="2"/>
  <c r="M11" i="2"/>
  <c r="M6" i="2"/>
  <c r="M5" i="2"/>
  <c r="H22" i="2"/>
  <c r="I22" i="2" s="1"/>
  <c r="H20" i="2"/>
  <c r="H15" i="2"/>
  <c r="I15" i="2" s="1"/>
  <c r="L20" i="2" a="1"/>
  <c r="L21" i="2" a="1"/>
  <c r="B19" i="2" a="1"/>
  <c r="B20" i="2" a="1"/>
  <c r="L13" i="2" a="1"/>
  <c r="E19" i="2" a="1"/>
  <c r="L19" i="2" a="1"/>
  <c r="E20" i="2" a="1"/>
  <c r="I33" i="2" l="1"/>
  <c r="I36" i="2"/>
  <c r="B20" i="2"/>
  <c r="H18" i="2" s="1"/>
  <c r="I18" i="2" s="1"/>
  <c r="B19" i="2"/>
  <c r="H19" i="2" s="1"/>
  <c r="I19" i="2" s="1"/>
  <c r="L21" i="2"/>
  <c r="M21" i="2" s="1"/>
  <c r="L20" i="2"/>
  <c r="M20" i="2" s="1"/>
  <c r="L19" i="2"/>
  <c r="M19" i="2" s="1"/>
  <c r="L13" i="2"/>
  <c r="M13" i="2" s="1"/>
  <c r="E20" i="2"/>
  <c r="H25" i="2" s="1"/>
  <c r="I25" i="2" s="1"/>
  <c r="E19" i="2"/>
  <c r="H26" i="2" s="1"/>
  <c r="I26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<sst xmlns="http://schemas.openxmlformats.org/spreadsheetml/2006/main" count="309" uniqueCount="231">
  <si>
    <t>Stop</t>
  </si>
  <si>
    <t>Slow</t>
  </si>
  <si>
    <t>Medium</t>
  </si>
  <si>
    <t>Limited</t>
  </si>
  <si>
    <t>Approach</t>
  </si>
  <si>
    <t>Approach-Medium</t>
  </si>
  <si>
    <t>Clear/Proceed</t>
  </si>
  <si>
    <t>Restricting/Tumble Down</t>
  </si>
  <si>
    <t>Track Speeds</t>
  </si>
  <si>
    <t>Action Triggers</t>
  </si>
  <si>
    <t>None</t>
  </si>
  <si>
    <t>Immediately</t>
  </si>
  <si>
    <t>After delay</t>
  </si>
  <si>
    <t>Immediate if True</t>
  </si>
  <si>
    <t>Immediate if False</t>
  </si>
  <si>
    <t>Delayed if True</t>
  </si>
  <si>
    <t>Delayed if False</t>
  </si>
  <si>
    <t>Group Processing Actions</t>
  </si>
  <si>
    <t>Send Event ID, then Exit to Next Logic Group</t>
  </si>
  <si>
    <t>Send Event ID, then Evaluate Next Logic in Group</t>
  </si>
  <si>
    <t>Don't Send Event ID, just Exit to Next Group</t>
  </si>
  <si>
    <t>Don't Send Event ID, just Evaluate Next Logic in Group</t>
  </si>
  <si>
    <t>Null =&gt; True</t>
  </si>
  <si>
    <t>Group Functions</t>
  </si>
  <si>
    <t>Blocked (Logic is not used processed)</t>
  </si>
  <si>
    <t>Group (Logic is part of a group of logics)</t>
  </si>
  <si>
    <t>Last (Logic is last or only logic in a group)</t>
  </si>
  <si>
    <t>Cards</t>
  </si>
  <si>
    <t>Card 1</t>
  </si>
  <si>
    <t>Card 2</t>
  </si>
  <si>
    <t>Card 3</t>
  </si>
  <si>
    <t>Card 4</t>
  </si>
  <si>
    <t>Card 5</t>
  </si>
  <si>
    <t>Card 6</t>
  </si>
  <si>
    <t>Card 7</t>
  </si>
  <si>
    <t>Card 8</t>
  </si>
  <si>
    <t>Node ID</t>
  </si>
  <si>
    <t>05.01.01.01.5C.65</t>
  </si>
  <si>
    <t>Card #</t>
  </si>
  <si>
    <t>Card Type</t>
  </si>
  <si>
    <t>Device #</t>
  </si>
  <si>
    <t>Card Types</t>
  </si>
  <si>
    <t>BOD Card</t>
  </si>
  <si>
    <t>Turnout Card</t>
  </si>
  <si>
    <t>PWM Card</t>
  </si>
  <si>
    <t>Event IDs True</t>
  </si>
  <si>
    <t>Devices</t>
  </si>
  <si>
    <t>Device 1</t>
  </si>
  <si>
    <t>Device 2</t>
  </si>
  <si>
    <t>Device 3</t>
  </si>
  <si>
    <t>Device 4</t>
  </si>
  <si>
    <t>Device 5</t>
  </si>
  <si>
    <t>Device 6</t>
  </si>
  <si>
    <t>Device 7</t>
  </si>
  <si>
    <t>Device 8</t>
  </si>
  <si>
    <t>Event IDs False</t>
  </si>
  <si>
    <t>Description</t>
  </si>
  <si>
    <t>Condition 1</t>
  </si>
  <si>
    <t>Condition 2</t>
  </si>
  <si>
    <t>Condition's Trigger</t>
  </si>
  <si>
    <t>Condition's Source</t>
  </si>
  <si>
    <t>Condition's True Event ID</t>
  </si>
  <si>
    <t>Condition's False Event ID</t>
  </si>
  <si>
    <t>Condition 1 Only</t>
  </si>
  <si>
    <t>Condition 1 AND Condition 2</t>
  </si>
  <si>
    <t>Condition 1 OR Condition 2</t>
  </si>
  <si>
    <t>Condition 1 XOR Condition 2</t>
  </si>
  <si>
    <t>Condition 1 AND Condition 2 =&gt; Change</t>
  </si>
  <si>
    <t>Condition 1 OR Condition 2 =&gt; Change</t>
  </si>
  <si>
    <t>Condition 1 AND Then Condition 2 =&gt; True</t>
  </si>
  <si>
    <t>Condition 2 Only</t>
  </si>
  <si>
    <t>Speed of Track Circuit 1</t>
  </si>
  <si>
    <t>Speed of Track Circuit 2</t>
  </si>
  <si>
    <t>Speed of Track Circuit 3</t>
  </si>
  <si>
    <t>Speed of Track Circuit 4</t>
  </si>
  <si>
    <t>Speed of Track Circuit 5</t>
  </si>
  <si>
    <t>Speed of Track Circuit 6</t>
  </si>
  <si>
    <t>Speed of Track Circuit 7</t>
  </si>
  <si>
    <t>Speed of Track Circuit 8</t>
  </si>
  <si>
    <t>Event ID</t>
  </si>
  <si>
    <t>Logic Operations</t>
  </si>
  <si>
    <t>Condition Sources</t>
  </si>
  <si>
    <t>Condition Triggers</t>
  </si>
  <si>
    <t>When Condition's Event ID or Speed Changes</t>
  </si>
  <si>
    <t>When Condition's Event ID or Speed Occurs</t>
  </si>
  <si>
    <t>Logic Conditionals</t>
  </si>
  <si>
    <t>Condition 2 Configuration</t>
  </si>
  <si>
    <t>Action Trigger</t>
  </si>
  <si>
    <t>Action Event ID</t>
  </si>
  <si>
    <t>Mast Operational Mode</t>
  </si>
  <si>
    <t>Normal</t>
  </si>
  <si>
    <t>Track Circuit Link Event ID</t>
  </si>
  <si>
    <t>Lamp Fade</t>
  </si>
  <si>
    <t>Rule Name</t>
  </si>
  <si>
    <t>Rule Track Speed</t>
  </si>
  <si>
    <t>Rule's Aspect Indicator</t>
  </si>
  <si>
    <t>Set Aspect Event ID</t>
  </si>
  <si>
    <t>Lamp Phase</t>
  </si>
  <si>
    <t>Lamp Selection</t>
  </si>
  <si>
    <t>Rule Names</t>
  </si>
  <si>
    <t>0-Stop</t>
  </si>
  <si>
    <t>1-Take Siding</t>
  </si>
  <si>
    <t>2-Stop Orders</t>
  </si>
  <si>
    <t>3-Stop Proceed</t>
  </si>
  <si>
    <t>4-Restricting</t>
  </si>
  <si>
    <t>5-Permissive</t>
  </si>
  <si>
    <t>6-Slow-Approach</t>
  </si>
  <si>
    <t>7-Slow</t>
  </si>
  <si>
    <t>8-Slow-Medium</t>
  </si>
  <si>
    <t>9-Slow-Limited</t>
  </si>
  <si>
    <t>10-Slow-Clear</t>
  </si>
  <si>
    <t>11-Medium-Approach</t>
  </si>
  <si>
    <t>12-Medium-Slow</t>
  </si>
  <si>
    <t>13-Medium</t>
  </si>
  <si>
    <t>14-Medium-Clear</t>
  </si>
  <si>
    <t>15-Medium-Limited</t>
  </si>
  <si>
    <t>16-Limited-Approach</t>
  </si>
  <si>
    <t>17-Limited-Slow</t>
  </si>
  <si>
    <t>18-Limited-Medium</t>
  </si>
  <si>
    <t>19-Limited</t>
  </si>
  <si>
    <t>20-Limited-Clear</t>
  </si>
  <si>
    <t>21-Approach</t>
  </si>
  <si>
    <t>22-Advance-Approach</t>
  </si>
  <si>
    <t>23-Approach-Slow</t>
  </si>
  <si>
    <t>24-Advance-Approach-Slow</t>
  </si>
  <si>
    <t>25-Apporach-Medium</t>
  </si>
  <si>
    <t>26-Advance-Approach-Medium</t>
  </si>
  <si>
    <t>27-Approach-Limited</t>
  </si>
  <si>
    <t>28-Advance-Approach-Limited</t>
  </si>
  <si>
    <t>29-Clear</t>
  </si>
  <si>
    <t>30-Cab Speed</t>
  </si>
  <si>
    <t>31-Dark</t>
  </si>
  <si>
    <t>Aspect Indicators</t>
  </si>
  <si>
    <t>R/R - Stop before Signal</t>
  </si>
  <si>
    <t>Y/R - Switch not set</t>
  </si>
  <si>
    <t>Y/Y - Regular speed on diverging route</t>
  </si>
  <si>
    <t>Y/G - Clear, but less than 60 on divergence</t>
  </si>
  <si>
    <t>Y/R - Max 40 MPH, stop at next signal</t>
  </si>
  <si>
    <t>R/G - Proceed on diverging</t>
  </si>
  <si>
    <t>G/R - Proceed on mainline</t>
  </si>
  <si>
    <t>Y/R - Max 50 MPH on divergence</t>
  </si>
  <si>
    <t>Unused</t>
  </si>
  <si>
    <t>Lamp 1</t>
  </si>
  <si>
    <t>Lamp 2</t>
  </si>
  <si>
    <t>Lamp 3</t>
  </si>
  <si>
    <t>Lamp 4</t>
  </si>
  <si>
    <t>Lamp 5</t>
  </si>
  <si>
    <t>Lamp 6</t>
  </si>
  <si>
    <t>Lamp 7</t>
  </si>
  <si>
    <t>Lamp 8</t>
  </si>
  <si>
    <t>Lamp 9</t>
  </si>
  <si>
    <t>Lamp 10</t>
  </si>
  <si>
    <t>Lamp 11</t>
  </si>
  <si>
    <t>Lamp 12</t>
  </si>
  <si>
    <t>Lamp 13</t>
  </si>
  <si>
    <t>Lamp 14</t>
  </si>
  <si>
    <t>Lamp 15</t>
  </si>
  <si>
    <t>Lamp 16</t>
  </si>
  <si>
    <t>Logic Conditional Operation</t>
  </si>
  <si>
    <t>Logic Action Time Interval</t>
  </si>
  <si>
    <t>Logic Action Retriggerable</t>
  </si>
  <si>
    <t>&lt;enter text&gt;</t>
  </si>
  <si>
    <t>Reference ID</t>
  </si>
  <si>
    <t>Card Communications Bus</t>
  </si>
  <si>
    <t>Card Communications Address</t>
  </si>
  <si>
    <t>Mast Identifer</t>
  </si>
  <si>
    <t>Lamp Glow Effect Duration</t>
  </si>
  <si>
    <t>Card Bus</t>
  </si>
  <si>
    <t>Bus A</t>
  </si>
  <si>
    <t>Bus B</t>
  </si>
  <si>
    <t>Card Address</t>
  </si>
  <si>
    <t>0 = OFF, OFF, OFF</t>
  </si>
  <si>
    <t>1 = OFF, OFF, ON</t>
  </si>
  <si>
    <t>2 = OFF, ON, OFF</t>
  </si>
  <si>
    <t>3 = OFF, ON, ON</t>
  </si>
  <si>
    <t>4 = ON, OFF, OFF</t>
  </si>
  <si>
    <t>5 = ON, OFF, ON</t>
  </si>
  <si>
    <t>6 = ON, ON, OFF</t>
  </si>
  <si>
    <t>7 = ON, ON, ON</t>
  </si>
  <si>
    <t>Signal Mast Card #</t>
  </si>
  <si>
    <t>not used</t>
  </si>
  <si>
    <t>Choose an option</t>
  </si>
  <si>
    <t>&lt;Not Used&gt;</t>
  </si>
  <si>
    <t>Group Functionality</t>
  </si>
  <si>
    <t>Condition 1 Configuration</t>
  </si>
  <si>
    <t>Condition's Track Circuit Speed</t>
  </si>
  <si>
    <t>Logic Flow for True Condition</t>
  </si>
  <si>
    <t>Logic Flow for False  Condition</t>
  </si>
  <si>
    <t>Logic Action Timing Delay</t>
  </si>
  <si>
    <t xml:space="preserve"> </t>
  </si>
  <si>
    <t>Operation</t>
  </si>
  <si>
    <t>Signal Masts and Track Circuits</t>
  </si>
  <si>
    <t>Signal Mast Configuration(0)</t>
  </si>
  <si>
    <t>Card Information Configuration</t>
  </si>
  <si>
    <t>Card Communications Configuration</t>
  </si>
  <si>
    <t>Logic (1)</t>
  </si>
  <si>
    <t>End of Logic Statement</t>
  </si>
  <si>
    <t>x</t>
  </si>
  <si>
    <t>Rule To Aspect Mapping Configuration(0)</t>
  </si>
  <si>
    <t>Rules Configuration(0)</t>
  </si>
  <si>
    <t>Lamp Configuration(0)</t>
  </si>
  <si>
    <t>Lamp Brightness (%)</t>
  </si>
  <si>
    <t>Lamp Configuration(1)</t>
  </si>
  <si>
    <t>Aspect Set Event ID</t>
  </si>
  <si>
    <t>Aspect Cleared Event ID</t>
  </si>
  <si>
    <t>Mast Operational</t>
  </si>
  <si>
    <t>Linked to Previous Mast</t>
  </si>
  <si>
    <t>Fade</t>
  </si>
  <si>
    <t>Incandescent</t>
  </si>
  <si>
    <t>Phase</t>
  </si>
  <si>
    <t>Steady</t>
  </si>
  <si>
    <t>A - Slow</t>
  </si>
  <si>
    <t>A - Medium</t>
  </si>
  <si>
    <t>A - Fast</t>
  </si>
  <si>
    <t>None (not used)</t>
  </si>
  <si>
    <t>B - Slow</t>
  </si>
  <si>
    <t>B - Medium</t>
  </si>
  <si>
    <t>B - Fast</t>
  </si>
  <si>
    <t>Logic Statement (Example)</t>
  </si>
  <si>
    <t>Logics and Conditionals</t>
  </si>
  <si>
    <t>Logics and Conditional Configuration(0)</t>
  </si>
  <si>
    <t>Actions Configuration(0)</t>
  </si>
  <si>
    <t>Actions Configuration(1)</t>
  </si>
  <si>
    <t>IF Block is Occupied, THEN Set aspect to Stop and Exit ELSE Set aspect to Clear and Exit</t>
  </si>
  <si>
    <t>#blocks=1, #turnouts=0, #masts</t>
  </si>
  <si>
    <t>Aspect Dependencies</t>
  </si>
  <si>
    <t>05.01.01.01.5C.65.05.02</t>
  </si>
  <si>
    <t>Toolkit</t>
  </si>
  <si>
    <t>&lt;optionally change default = 0&gt;</t>
  </si>
  <si>
    <t>&lt;optionally change default = no&gt;</t>
  </si>
  <si>
    <t>CDI Value (for Restore Operation)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</si>
</sst>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Tw Cen MT"/>
      <family val="2"/>
      <scheme val="minor"/>
    </font>
    <font>
      <sz val="8"/>
      <name val="Tw Cen MT"/>
      <family val="2"/>
      <scheme val="minor"/>
    </font>
    <font>
      <b/>
      <sz val="13"/>
      <color theme="3"/>
      <name val="Tw Cen MT"/>
      <family val="2"/>
      <scheme val="minor"/>
    </font>
    <font>
      <sz val="11"/>
      <color rgb="FF3F3F76"/>
      <name val="Tw Cen MT"/>
      <family val="2"/>
      <scheme val="minor"/>
    </font>
    <font>
      <b/>
      <sz val="11"/>
      <color rgb="FF3F3F3F"/>
      <name val="Tw Cen MT"/>
      <family val="2"/>
      <scheme val="minor"/>
    </font>
    <font>
      <i/>
      <sz val="11"/>
      <color rgb="FF7F7F7F"/>
      <name val="Tw Cen MT"/>
      <family val="2"/>
      <scheme val="minor"/>
    </font>
    <font>
      <b/>
      <sz val="11"/>
      <color theme="3"/>
      <name val="Tw Cen MT"/>
      <family val="2"/>
      <scheme val="minor"/>
    </font>
    <font>
      <sz val="11"/>
      <color rgb="FF000000"/>
      <name val="Tw Cen MT"/>
      <family val="2"/>
    </font>
    <font>
      <b/>
      <i/>
      <sz val="8"/>
      <color rgb="FF7F7F7F"/>
      <name val="Aptos Narrow"/>
      <family val="2"/>
    </font>
    <font>
      <sz val="8"/>
      <color rgb="FF3F3F76"/>
      <name val="Aptos Narrow"/>
      <family val="2"/>
    </font>
    <font>
      <sz val="8"/>
      <color theme="1"/>
      <name val="Aptos Narrow"/>
      <family val="2"/>
    </font>
    <font>
      <b/>
      <sz val="8"/>
      <color theme="3"/>
      <name val="Aptos Narrow"/>
      <family val="2"/>
    </font>
    <font>
      <b/>
      <i/>
      <sz val="8"/>
      <color rgb="FFFF0000"/>
      <name val="Aptos Narrow"/>
      <family val="2"/>
    </font>
    <font>
      <b/>
      <sz val="8"/>
      <color rgb="FF3F3F3F"/>
      <name val="Aptos Narrow"/>
      <family val="2"/>
    </font>
    <font>
      <b/>
      <sz val="10"/>
      <color theme="3"/>
      <name val="Aptos Narrow"/>
      <family val="2"/>
    </font>
    <font>
      <sz val="8"/>
      <color theme="1"/>
      <name val="Tw Cen MT"/>
      <family val="2"/>
      <scheme val="minor"/>
    </font>
    <font>
      <sz val="10"/>
      <color theme="1"/>
      <name val="Aptos Narrow"/>
      <family val="2"/>
    </font>
    <font>
      <sz val="12"/>
      <name val="Aptos Narrow"/>
      <family val="2"/>
    </font>
  </fonts>
  <fills count="10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92D050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auto="1"/>
      </left>
      <right/>
      <top/>
      <bottom style="medium">
        <color theme="4" tint="0.3999755851924192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auto="1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/>
      <bottom/>
      <diagonal/>
    </border>
    <border>
      <left/>
      <right style="thin">
        <color rgb="FF7F7F7F"/>
      </right>
      <top/>
      <bottom/>
      <diagonal/>
    </border>
  </borders>
  <cellStyleXfs count="7">
    <xf numFmtId="0" fontId="0" fillId="0" borderId="0"/>
    <xf numFmtId="0" fontId="2" fillId="0" borderId="1" applyNumberFormat="0" applyFill="0" applyAlignment="0" applyProtection="0"/>
    <xf numFmtId="0" fontId="3" fillId="3" borderId="3" applyNumberFormat="0" applyAlignment="0" applyProtection="0"/>
    <xf numFmtId="0" fontId="4" fillId="4" borderId="4" applyNumberFormat="0" applyAlignment="0" applyProtection="0"/>
    <xf numFmtId="0" fontId="5" fillId="0" borderId="0" applyNumberFormat="0" applyFill="0" applyBorder="0" applyAlignment="0" applyProtection="0"/>
    <xf numFmtId="0" fontId="6" fillId="0" borderId="2" applyNumberFormat="0" applyFill="0" applyAlignment="0" applyProtection="0"/>
    <xf numFmtId="0" fontId="6" fillId="0" borderId="0" applyNumberFormat="0" applyFill="0" applyBorder="0" applyAlignment="0" applyProtection="0"/>
  </cellStyleXfs>
  <cellXfs count="52">
    <xf numFmtId="0" fontId="0" fillId="0" borderId="0" xfId="0"/>
    <xf numFmtId="0" fontId="9" fillId="3" borderId="3" xfId="2" applyNumberFormat="1" applyFont="1" applyAlignment="1" applyProtection="1">
      <alignment wrapText="1"/>
      <protection locked="0"/>
    </xf>
    <xf numFmtId="0" fontId="10" fillId="0" borderId="0" xfId="0" applyFont="1" applyAlignment="1">
      <alignment wrapText="1"/>
    </xf>
    <xf numFmtId="0" fontId="10" fillId="9" borderId="0" xfId="0" applyFont="1" applyFill="1" applyAlignment="1">
      <alignment wrapText="1"/>
    </xf>
    <xf numFmtId="0" fontId="10" fillId="8" borderId="0" xfId="0" applyFont="1" applyFill="1" applyAlignment="1">
      <alignment wrapText="1"/>
    </xf>
    <xf numFmtId="0" fontId="10" fillId="8" borderId="0" xfId="0" applyFont="1" applyFill="1" applyAlignment="1">
      <alignment horizontal="left" wrapText="1"/>
    </xf>
    <xf numFmtId="0" fontId="8" fillId="6" borderId="0" xfId="4" applyNumberFormat="1" applyFont="1" applyFill="1" applyAlignment="1">
      <alignment wrapText="1"/>
    </xf>
    <xf numFmtId="0" fontId="9" fillId="3" borderId="3" xfId="2" applyNumberFormat="1" applyFont="1" applyAlignment="1">
      <alignment horizontal="left" wrapText="1"/>
    </xf>
    <xf numFmtId="0" fontId="9" fillId="3" borderId="3" xfId="2" applyFont="1" applyAlignment="1">
      <alignment horizontal="left" wrapText="1"/>
    </xf>
    <xf numFmtId="0" fontId="9" fillId="3" borderId="3" xfId="2" quotePrefix="1" applyFont="1" applyAlignment="1">
      <alignment horizontal="left" wrapText="1"/>
    </xf>
    <xf numFmtId="0" fontId="12" fillId="5" borderId="5" xfId="4" applyNumberFormat="1" applyFont="1" applyFill="1" applyBorder="1" applyAlignment="1">
      <alignment wrapText="1"/>
    </xf>
    <xf numFmtId="0" fontId="8" fillId="2" borderId="3" xfId="4" applyNumberFormat="1" applyFont="1" applyFill="1" applyBorder="1" applyAlignment="1">
      <alignment wrapText="1"/>
    </xf>
    <xf numFmtId="0" fontId="9" fillId="3" borderId="3" xfId="2" applyNumberFormat="1" applyFont="1" applyAlignment="1" applyProtection="1">
      <alignment horizontal="left" wrapText="1"/>
      <protection locked="0"/>
    </xf>
    <xf numFmtId="0" fontId="13" fillId="4" borderId="4" xfId="3" applyFont="1" applyAlignment="1">
      <alignment wrapText="1"/>
    </xf>
    <xf numFmtId="0" fontId="13" fillId="4" borderId="4" xfId="3" applyNumberFormat="1" applyFont="1" applyAlignment="1">
      <alignment horizontal="left" wrapText="1"/>
    </xf>
    <xf numFmtId="0" fontId="13" fillId="4" borderId="4" xfId="3" applyNumberFormat="1" applyFont="1" applyAlignment="1">
      <alignment wrapText="1"/>
    </xf>
    <xf numFmtId="0" fontId="13" fillId="4" borderId="6" xfId="3" applyNumberFormat="1" applyFont="1" applyBorder="1" applyAlignment="1">
      <alignment wrapText="1"/>
    </xf>
    <xf numFmtId="0" fontId="8" fillId="2" borderId="7" xfId="4" applyNumberFormat="1" applyFont="1" applyFill="1" applyBorder="1" applyAlignment="1">
      <alignment wrapText="1"/>
    </xf>
    <xf numFmtId="0" fontId="10" fillId="0" borderId="0" xfId="0" applyFont="1" applyAlignment="1">
      <alignment horizontal="left" wrapText="1"/>
    </xf>
    <xf numFmtId="0" fontId="14" fillId="9" borderId="2" xfId="5" applyNumberFormat="1" applyFont="1" applyFill="1" applyAlignment="1">
      <alignment horizontal="center" wrapText="1"/>
    </xf>
    <xf numFmtId="0" fontId="14" fillId="7" borderId="0" xfId="1" applyNumberFormat="1" applyFont="1" applyFill="1" applyBorder="1" applyAlignment="1">
      <alignment horizontal="left" wrapText="1"/>
    </xf>
    <xf numFmtId="0" fontId="14" fillId="9" borderId="2" xfId="5" applyNumberFormat="1" applyFont="1" applyFill="1" applyAlignment="1">
      <alignment horizontal="center" wrapText="1"/>
    </xf>
    <xf numFmtId="0" fontId="14" fillId="7" borderId="0" xfId="1" applyNumberFormat="1" applyFont="1" applyFill="1" applyBorder="1" applyAlignment="1">
      <alignment wrapText="1"/>
    </xf>
    <xf numFmtId="0" fontId="13" fillId="4" borderId="4" xfId="3" applyFont="1" applyAlignment="1" applyProtection="1">
      <alignment wrapText="1"/>
    </xf>
    <xf numFmtId="0" fontId="8" fillId="8" borderId="0" xfId="4" applyNumberFormat="1" applyFont="1" applyFill="1" applyAlignment="1">
      <alignment wrapText="1"/>
    </xf>
    <xf numFmtId="0" fontId="8" fillId="8" borderId="0" xfId="4" applyNumberFormat="1" applyFont="1" applyFill="1" applyAlignment="1" applyProtection="1">
      <alignment wrapText="1"/>
    </xf>
    <xf numFmtId="0" fontId="9" fillId="3" borderId="8" xfId="2" applyNumberFormat="1" applyFont="1" applyBorder="1" applyAlignment="1" applyProtection="1">
      <alignment horizontal="left" wrapText="1"/>
      <protection locked="0"/>
    </xf>
    <xf numFmtId="0" fontId="9" fillId="3" borderId="9" xfId="2" applyNumberFormat="1" applyFont="1" applyBorder="1" applyAlignment="1" applyProtection="1">
      <alignment horizontal="left" wrapText="1"/>
      <protection locked="0"/>
    </xf>
    <xf numFmtId="0" fontId="9" fillId="3" borderId="10" xfId="2" applyNumberFormat="1" applyFont="1" applyBorder="1" applyAlignment="1" applyProtection="1">
      <alignment horizontal="left" wrapText="1"/>
      <protection locked="0"/>
    </xf>
    <xf numFmtId="0" fontId="9" fillId="3" borderId="11" xfId="2" applyNumberFormat="1" applyFont="1" applyBorder="1" applyAlignment="1" applyProtection="1">
      <alignment horizontal="left" wrapText="1"/>
      <protection locked="0"/>
    </xf>
    <xf numFmtId="0" fontId="9" fillId="3" borderId="0" xfId="2" applyNumberFormat="1" applyFont="1" applyBorder="1" applyAlignment="1" applyProtection="1">
      <alignment horizontal="left" wrapText="1"/>
      <protection locked="0"/>
    </xf>
    <xf numFmtId="0" fontId="9" fillId="3" borderId="12" xfId="2" applyNumberFormat="1" applyFont="1" applyBorder="1" applyAlignment="1" applyProtection="1">
      <alignment horizontal="left" wrapText="1"/>
      <protection locked="0"/>
    </xf>
    <xf numFmtId="0" fontId="15" fillId="0" borderId="0" xfId="0" applyFont="1"/>
    <xf numFmtId="0" fontId="17" fillId="5" borderId="0" xfId="0" applyFont="1" applyFill="1" applyAlignment="1">
      <alignment horizontal="left" vertical="top" wrapText="1"/>
    </xf>
    <xf numFmtId="0" fontId="15" fillId="0" borderId="0" xfId="0" applyFont="1" applyAlignment="1">
      <alignment horizontal="center"/>
    </xf>
    <xf numFmtId="0" fontId="10" fillId="5" borderId="0" xfId="0" applyFont="1" applyFill="1" applyAlignment="1">
      <alignment wrapText="1"/>
    </xf>
    <xf numFmtId="0" fontId="10" fillId="5" borderId="0" xfId="0" applyFont="1" applyFill="1"/>
    <xf numFmtId="0" fontId="0" fillId="5" borderId="0" xfId="0" applyFill="1"/>
    <xf numFmtId="0" fontId="16" fillId="9" borderId="0" xfId="0" applyFont="1" applyFill="1" applyAlignment="1">
      <alignment horizontal="left" wrapText="1"/>
    </xf>
    <xf numFmtId="0" fontId="14" fillId="9" borderId="0" xfId="6" applyNumberFormat="1" applyFont="1" applyFill="1" applyBorder="1" applyAlignment="1">
      <alignment horizontal="left" wrapText="1"/>
    </xf>
    <xf numFmtId="0" fontId="14" fillId="9" borderId="0" xfId="6" applyNumberFormat="1" applyFont="1" applyFill="1" applyBorder="1" applyAlignment="1" applyProtection="1">
      <alignment horizontal="left" wrapText="1"/>
    </xf>
    <xf numFmtId="0" fontId="10" fillId="8" borderId="0" xfId="0" applyFont="1" applyFill="1" applyAlignment="1">
      <alignment horizontal="left" vertical="top" wrapText="1"/>
    </xf>
    <xf numFmtId="0" fontId="10" fillId="9" borderId="0" xfId="0" applyFont="1" applyFill="1" applyAlignment="1">
      <alignment horizontal="right" vertical="top"/>
    </xf>
    <xf numFmtId="0" fontId="16" fillId="9" borderId="0" xfId="0" applyFont="1" applyFill="1" applyAlignment="1">
      <alignment horizontal="right" vertical="top"/>
    </xf>
    <xf numFmtId="0" fontId="11" fillId="9" borderId="0" xfId="6" applyNumberFormat="1" applyFont="1" applyFill="1" applyBorder="1" applyAlignment="1">
      <alignment horizontal="right" vertical="top"/>
    </xf>
    <xf numFmtId="0" fontId="10" fillId="0" borderId="0" xfId="0" applyFont="1" applyAlignment="1">
      <alignment horizontal="right"/>
    </xf>
    <xf numFmtId="0" fontId="10" fillId="5" borderId="0" xfId="0" applyFont="1" applyFill="1" applyAlignment="1">
      <alignment horizontal="right" vertical="center"/>
    </xf>
    <xf numFmtId="0" fontId="15" fillId="5" borderId="0" xfId="0" applyFont="1" applyFill="1" applyAlignment="1">
      <alignment horizontal="right" vertical="center"/>
    </xf>
    <xf numFmtId="0" fontId="14" fillId="7" borderId="0" xfId="1" applyNumberFormat="1" applyFont="1" applyFill="1" applyBorder="1" applyAlignment="1">
      <alignment horizontal="right" vertical="center"/>
    </xf>
    <xf numFmtId="0" fontId="16" fillId="9" borderId="0" xfId="0" applyFont="1" applyFill="1" applyAlignment="1">
      <alignment horizontal="right" vertical="center"/>
    </xf>
    <xf numFmtId="0" fontId="13" fillId="4" borderId="4" xfId="3" applyFont="1" applyAlignment="1" applyProtection="1">
      <alignment horizontal="right" vertical="center"/>
    </xf>
    <xf numFmtId="0" fontId="10" fillId="0" borderId="0" xfId="0" applyFont="1" applyAlignment="1">
      <alignment horizontal="right" vertical="center"/>
    </xf>
  </cellXfs>
  <cellStyles count="7">
    <cellStyle name="Explanatory Text" xfId="4" builtinId="53"/>
    <cellStyle name="Heading 2" xfId="1" builtinId="17"/>
    <cellStyle name="Heading 3" xfId="5" builtinId="18"/>
    <cellStyle name="Heading 4" xfId="6" builtinId="19"/>
    <cellStyle name="Input" xfId="2" builtinId="20"/>
    <cellStyle name="Normal" xfId="0" builtinId="0"/>
    <cellStyle name="Output" xfId="3" builtinId="21"/>
  </cellStyles>
  <dxfs count="54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w Cen MT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w Cen MT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w Cen MT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w Cen MT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w Cen MT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w Cen MT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w Cen MT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w Cen MT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w Cen MT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w Cen MT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w Cen MT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w Cen MT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w Cen MT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w Cen MT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w Cen MT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w Cen MT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w Cen MT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w Cen MT"/>
        <family val="2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Tw Cen MT"/>
        <family val="2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Tw Cen MT"/>
        <family val="2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Tw Cen MT"/>
        <family val="2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Tw Cen MT"/>
        <family val="2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Tw Cen MT"/>
        <family val="2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Tw Cen MT"/>
        <family val="2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Tw Cen MT"/>
        <family val="2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Tw Cen MT"/>
        <family val="2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Tw Cen MT"/>
        <family val="2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Tw Cen MT"/>
        <family val="2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Tw Cen MT"/>
        <family val="2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Tw Cen MT"/>
        <family val="2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Tw Cen MT"/>
        <family val="2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Tw Cen MT"/>
        <family val="2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Tw Cen MT"/>
        <family val="2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Tw Cen MT"/>
        <family val="2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Tw Cen MT"/>
        <family val="2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Tw Cen MT"/>
        <family val="2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Tw Cen MT"/>
        <family val="2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Tw Cen MT"/>
        <family val="2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Tw Cen MT"/>
        <family val="2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Tw Cen MT"/>
        <family val="2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Tw Cen MT"/>
        <family val="2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Tw Cen MT"/>
        <family val="2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Tw Cen MT"/>
        <family val="2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Tw Cen MT"/>
        <family val="2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Tw Cen MT"/>
        <family val="2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Tw Cen MT"/>
        <family val="2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Tw Cen MT"/>
        <family val="2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Tw Cen MT"/>
        <family val="2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Tw Cen MT"/>
        <family val="2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Tw Cen MT"/>
        <family val="2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Tw Cen MT"/>
        <family val="2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Tw Cen MT"/>
        <family val="2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Tw Cen MT"/>
        <family val="2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Tw Cen MT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gif"/><Relationship Id="rId3" Type="http://schemas.openxmlformats.org/officeDocument/2006/relationships/image" Target="../media/image4.png"/><Relationship Id="rId7" Type="http://schemas.openxmlformats.org/officeDocument/2006/relationships/image" Target="../media/image8.gif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gif"/><Relationship Id="rId5" Type="http://schemas.openxmlformats.org/officeDocument/2006/relationships/image" Target="../media/image6.png"/><Relationship Id="rId10" Type="http://schemas.openxmlformats.org/officeDocument/2006/relationships/image" Target="../media/image11.gif"/><Relationship Id="rId4" Type="http://schemas.openxmlformats.org/officeDocument/2006/relationships/image" Target="../media/image5.png"/><Relationship Id="rId9" Type="http://schemas.openxmlformats.org/officeDocument/2006/relationships/image" Target="../media/image10.gi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219075</xdr:colOff>
          <xdr:row>4</xdr:row>
          <xdr:rowOff>133350</xdr:rowOff>
        </xdr:from>
        <xdr:to>
          <xdr:col>2</xdr:col>
          <xdr:colOff>342900</xdr:colOff>
          <xdr:row>6</xdr:row>
          <xdr:rowOff>38100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Tw Cen MT"/>
                </a:rPr>
                <a:t>Delete Existing Logic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4</xdr:row>
          <xdr:rowOff>133350</xdr:rowOff>
        </xdr:from>
        <xdr:to>
          <xdr:col>1</xdr:col>
          <xdr:colOff>171450</xdr:colOff>
          <xdr:row>6</xdr:row>
          <xdr:rowOff>38100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Tw Cen MT"/>
                </a:rPr>
                <a:t>Add New Logic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190500</xdr:colOff>
          <xdr:row>6</xdr:row>
          <xdr:rowOff>85725</xdr:rowOff>
        </xdr:from>
        <xdr:to>
          <xdr:col>2</xdr:col>
          <xdr:colOff>314325</xdr:colOff>
          <xdr:row>8</xdr:row>
          <xdr:rowOff>28575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Tw Cen MT"/>
                </a:rPr>
                <a:t>Move Existing Logic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352425</xdr:colOff>
      <xdr:row>28</xdr:row>
      <xdr:rowOff>123825</xdr:rowOff>
    </xdr:from>
    <xdr:to>
      <xdr:col>2</xdr:col>
      <xdr:colOff>647700</xdr:colOff>
      <xdr:row>33</xdr:row>
      <xdr:rowOff>66675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2425" y="5048250"/>
          <a:ext cx="3371850" cy="73342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6</xdr:row>
          <xdr:rowOff>85725</xdr:rowOff>
        </xdr:from>
        <xdr:to>
          <xdr:col>1</xdr:col>
          <xdr:colOff>171450</xdr:colOff>
          <xdr:row>8</xdr:row>
          <xdr:rowOff>28575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Tw Cen MT"/>
                </a:rPr>
                <a:t>Copy Existing Logic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1066800</xdr:colOff>
      <xdr:row>33</xdr:row>
      <xdr:rowOff>47626</xdr:rowOff>
    </xdr:from>
    <xdr:to>
      <xdr:col>4</xdr:col>
      <xdr:colOff>1247775</xdr:colOff>
      <xdr:row>36</xdr:row>
      <xdr:rowOff>42864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4A24E53C-4B86-E157-65F0-5DC8A43818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24600" y="5810251"/>
          <a:ext cx="180975" cy="452438"/>
        </a:xfrm>
        <a:prstGeom prst="rect">
          <a:avLst/>
        </a:prstGeom>
      </xdr:spPr>
    </xdr:pic>
    <xdr:clientData/>
  </xdr:twoCellAnchor>
  <xdr:twoCellAnchor editAs="oneCell">
    <xdr:from>
      <xdr:col>4</xdr:col>
      <xdr:colOff>1314450</xdr:colOff>
      <xdr:row>33</xdr:row>
      <xdr:rowOff>66675</xdr:rowOff>
    </xdr:from>
    <xdr:to>
      <xdr:col>4</xdr:col>
      <xdr:colOff>1513235</xdr:colOff>
      <xdr:row>36</xdr:row>
      <xdr:rowOff>106438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49A3884B-5318-1EFB-29A5-B01795084B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72250" y="5829300"/>
          <a:ext cx="198785" cy="496963"/>
        </a:xfrm>
        <a:prstGeom prst="rect">
          <a:avLst/>
        </a:prstGeom>
      </xdr:spPr>
    </xdr:pic>
    <xdr:clientData/>
  </xdr:twoCellAnchor>
  <xdr:twoCellAnchor editAs="oneCell">
    <xdr:from>
      <xdr:col>4</xdr:col>
      <xdr:colOff>1619250</xdr:colOff>
      <xdr:row>33</xdr:row>
      <xdr:rowOff>76200</xdr:rowOff>
    </xdr:from>
    <xdr:to>
      <xdr:col>4</xdr:col>
      <xdr:colOff>1807766</xdr:colOff>
      <xdr:row>36</xdr:row>
      <xdr:rowOff>90291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D325CEE9-CDE8-DC52-8333-975EDAEA95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77050" y="5838825"/>
          <a:ext cx="188516" cy="47129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32</xdr:row>
      <xdr:rowOff>135255</xdr:rowOff>
    </xdr:from>
    <xdr:to>
      <xdr:col>4</xdr:col>
      <xdr:colOff>228600</xdr:colOff>
      <xdr:row>36</xdr:row>
      <xdr:rowOff>38100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5A54DF4B-802B-D53C-FFE6-0EA72F926F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5755005"/>
          <a:ext cx="228600" cy="502920"/>
        </a:xfrm>
        <a:prstGeom prst="rect">
          <a:avLst/>
        </a:prstGeom>
      </xdr:spPr>
    </xdr:pic>
    <xdr:clientData/>
  </xdr:twoCellAnchor>
  <xdr:twoCellAnchor editAs="oneCell">
    <xdr:from>
      <xdr:col>3</xdr:col>
      <xdr:colOff>361950</xdr:colOff>
      <xdr:row>33</xdr:row>
      <xdr:rowOff>114300</xdr:rowOff>
    </xdr:from>
    <xdr:to>
      <xdr:col>3</xdr:col>
      <xdr:colOff>552450</xdr:colOff>
      <xdr:row>36</xdr:row>
      <xdr:rowOff>53975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78ADAB92-F579-6566-C2EF-109CC3EF67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14850" y="5876925"/>
          <a:ext cx="190500" cy="396875"/>
        </a:xfrm>
        <a:prstGeom prst="rect">
          <a:avLst/>
        </a:prstGeom>
      </xdr:spPr>
    </xdr:pic>
    <xdr:clientData/>
  </xdr:twoCellAnchor>
  <xdr:twoCellAnchor editAs="oneCell">
    <xdr:from>
      <xdr:col>4</xdr:col>
      <xdr:colOff>466725</xdr:colOff>
      <xdr:row>33</xdr:row>
      <xdr:rowOff>57150</xdr:rowOff>
    </xdr:from>
    <xdr:to>
      <xdr:col>4</xdr:col>
      <xdr:colOff>647700</xdr:colOff>
      <xdr:row>35</xdr:row>
      <xdr:rowOff>95250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BB43FD9F-42D3-43FB-4A8B-6FBE42624D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24525" y="5819775"/>
          <a:ext cx="180975" cy="352425"/>
        </a:xfrm>
        <a:prstGeom prst="rect">
          <a:avLst/>
        </a:prstGeom>
      </xdr:spPr>
    </xdr:pic>
    <xdr:clientData/>
  </xdr:twoCellAnchor>
  <xdr:twoCellAnchor editAs="oneCell">
    <xdr:from>
      <xdr:col>4</xdr:col>
      <xdr:colOff>762000</xdr:colOff>
      <xdr:row>33</xdr:row>
      <xdr:rowOff>57150</xdr:rowOff>
    </xdr:from>
    <xdr:to>
      <xdr:col>4</xdr:col>
      <xdr:colOff>923925</xdr:colOff>
      <xdr:row>36</xdr:row>
      <xdr:rowOff>9525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D48FA8E2-E91B-62FB-2CC2-DFB12B46C3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19800" y="5819775"/>
          <a:ext cx="161925" cy="409575"/>
        </a:xfrm>
        <a:prstGeom prst="rect">
          <a:avLst/>
        </a:prstGeom>
      </xdr:spPr>
    </xdr:pic>
    <xdr:clientData/>
  </xdr:twoCellAnchor>
  <xdr:twoCellAnchor>
    <xdr:from>
      <xdr:col>4</xdr:col>
      <xdr:colOff>400050</xdr:colOff>
      <xdr:row>30</xdr:row>
      <xdr:rowOff>161925</xdr:rowOff>
    </xdr:from>
    <xdr:to>
      <xdr:col>4</xdr:col>
      <xdr:colOff>1009650</xdr:colOff>
      <xdr:row>30</xdr:row>
      <xdr:rowOff>161925</xdr:rowOff>
    </xdr:to>
    <xdr:cxnSp macro="">
      <xdr:nvCxnSpPr>
        <xdr:cNvPr id="51" name="Straight Connector 50">
          <a:extLst>
            <a:ext uri="{FF2B5EF4-FFF2-40B4-BE49-F238E27FC236}">
              <a16:creationId xmlns:a16="http://schemas.microsoft.com/office/drawing/2014/main" id="{070AB7E2-5F1F-4985-B46D-BBFCE6DB79CC}"/>
            </a:ext>
          </a:extLst>
        </xdr:cNvPr>
        <xdr:cNvCxnSpPr/>
      </xdr:nvCxnSpPr>
      <xdr:spPr>
        <a:xfrm flipH="1">
          <a:off x="5657850" y="5448300"/>
          <a:ext cx="609600" cy="0"/>
        </a:xfrm>
        <a:prstGeom prst="line">
          <a:avLst/>
        </a:prstGeom>
        <a:ln>
          <a:solidFill>
            <a:schemeClr val="tx1"/>
          </a:solidFill>
          <a:headEnd type="oval" w="med" len="med"/>
          <a:tailEnd type="oval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3</xdr:col>
      <xdr:colOff>200025</xdr:colOff>
      <xdr:row>29</xdr:row>
      <xdr:rowOff>123825</xdr:rowOff>
    </xdr:from>
    <xdr:to>
      <xdr:col>3</xdr:col>
      <xdr:colOff>571500</xdr:colOff>
      <xdr:row>31</xdr:row>
      <xdr:rowOff>95250</xdr:rowOff>
    </xdr:to>
    <xdr:pic>
      <xdr:nvPicPr>
        <xdr:cNvPr id="62" name="Picture 61">
          <a:extLst>
            <a:ext uri="{FF2B5EF4-FFF2-40B4-BE49-F238E27FC236}">
              <a16:creationId xmlns:a16="http://schemas.microsoft.com/office/drawing/2014/main" id="{13B7657C-6C78-4965-92CE-CFF3897106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52925" y="5267325"/>
          <a:ext cx="371475" cy="304800"/>
        </a:xfrm>
        <a:prstGeom prst="rect">
          <a:avLst/>
        </a:prstGeom>
      </xdr:spPr>
    </xdr:pic>
    <xdr:clientData/>
  </xdr:twoCellAnchor>
  <xdr:twoCellAnchor editAs="oneCell">
    <xdr:from>
      <xdr:col>3</xdr:col>
      <xdr:colOff>676275</xdr:colOff>
      <xdr:row>29</xdr:row>
      <xdr:rowOff>85725</xdr:rowOff>
    </xdr:from>
    <xdr:to>
      <xdr:col>3</xdr:col>
      <xdr:colOff>1047750</xdr:colOff>
      <xdr:row>31</xdr:row>
      <xdr:rowOff>57150</xdr:rowOff>
    </xdr:to>
    <xdr:pic>
      <xdr:nvPicPr>
        <xdr:cNvPr id="63" name="Picture 62">
          <a:extLst>
            <a:ext uri="{FF2B5EF4-FFF2-40B4-BE49-F238E27FC236}">
              <a16:creationId xmlns:a16="http://schemas.microsoft.com/office/drawing/2014/main" id="{C45E4C96-3AFC-402A-BA19-A686635838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0800000">
          <a:off x="4829175" y="5229225"/>
          <a:ext cx="371475" cy="304800"/>
        </a:xfrm>
        <a:prstGeom prst="rect">
          <a:avLst/>
        </a:prstGeom>
      </xdr:spPr>
    </xdr:pic>
    <xdr:clientData/>
  </xdr:twoCellAnchor>
  <xdr:twoCellAnchor editAs="oneCell">
    <xdr:from>
      <xdr:col>4</xdr:col>
      <xdr:colOff>1495425</xdr:colOff>
      <xdr:row>28</xdr:row>
      <xdr:rowOff>47625</xdr:rowOff>
    </xdr:from>
    <xdr:to>
      <xdr:col>4</xdr:col>
      <xdr:colOff>1866900</xdr:colOff>
      <xdr:row>30</xdr:row>
      <xdr:rowOff>66675</xdr:rowOff>
    </xdr:to>
    <xdr:pic>
      <xdr:nvPicPr>
        <xdr:cNvPr id="1025" name="Picture 1024">
          <a:extLst>
            <a:ext uri="{FF2B5EF4-FFF2-40B4-BE49-F238E27FC236}">
              <a16:creationId xmlns:a16="http://schemas.microsoft.com/office/drawing/2014/main" id="{25B8FB05-F415-0A0E-6015-F7CE5FA78F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3225" y="5048250"/>
          <a:ext cx="371475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771525</xdr:colOff>
          <xdr:row>4</xdr:row>
          <xdr:rowOff>133350</xdr:rowOff>
        </xdr:from>
        <xdr:to>
          <xdr:col>4</xdr:col>
          <xdr:colOff>276225</xdr:colOff>
          <xdr:row>6</xdr:row>
          <xdr:rowOff>38100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AD0901C5-E34C-BCFB-6FE2-1DBBE3704FD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Tw Cen MT"/>
                </a:rPr>
                <a:t>Save Logic CDI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2DC1364-A3E5-4D6C-B7C7-8BADCF10C902}" name="TrackSpeeds_Table" displayName="TrackSpeeds_Table" ref="A1:A9" totalsRowShown="0" headerRowDxfId="52" dataDxfId="51">
  <autoFilter ref="A1:A9" xr:uid="{32DC1364-A3E5-4D6C-B7C7-8BADCF10C902}">
    <filterColumn colId="0" hiddenButton="1"/>
  </autoFilter>
  <tableColumns count="1">
    <tableColumn id="1" xr3:uid="{C91BBF29-25BC-4295-A14C-9F244DF9EC46}" name="Track Speeds" dataDxfId="53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C7DA73E-EE6F-46AE-88B8-2D2197CD2C60}" name="ActionTriggers_Table" displayName="ActionTriggers_Table" ref="C1:C8" totalsRowShown="0" headerRowDxfId="49" dataDxfId="48">
  <autoFilter ref="C1:C8" xr:uid="{DC7DA73E-EE6F-46AE-88B8-2D2197CD2C60}">
    <filterColumn colId="0" hiddenButton="1"/>
  </autoFilter>
  <tableColumns count="1">
    <tableColumn id="1" xr3:uid="{331BC6E7-C172-42DA-A67D-9D5E36CCE30E}" name="Action Triggers" dataDxfId="50"/>
  </tableColumns>
  <tableStyleInfo name="TableStyleLight1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86139D-A62C-4DEE-A5FF-A57B61FDC9D6}" name="ConditionSources_Table" displayName="ConditionSources_Table" ref="E1:E10" totalsRowShown="0" headerRowDxfId="46" dataDxfId="45">
  <autoFilter ref="E1:E10" xr:uid="{0086139D-A62C-4DEE-A5FF-A57B61FDC9D6}">
    <filterColumn colId="0" hiddenButton="1"/>
  </autoFilter>
  <tableColumns count="1">
    <tableColumn id="1" xr3:uid="{D18A6213-A625-449E-B36D-899AEF7CF589}" name="Condition Sources" dataDxfId="47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43A4075-BF84-4900-B9E8-CC544BA85C6E}" name="GroupProcessing_Table" displayName="GroupProcessing_Table" ref="A23:A27" totalsRowShown="0" headerRowDxfId="43" dataDxfId="42">
  <autoFilter ref="A23:A27" xr:uid="{943A4075-BF84-4900-B9E8-CC544BA85C6E}">
    <filterColumn colId="0" hiddenButton="1"/>
  </autoFilter>
  <tableColumns count="1">
    <tableColumn id="1" xr3:uid="{24D14D27-C225-4B85-858A-A84C3E612367}" name="Group Processing Actions" dataDxfId="44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D377645-F534-460C-93B0-52745B95C757}" name="LogicOperations_Table" displayName="LogicOperations_Table" ref="A12:A21" totalsRowShown="0" headerRowDxfId="40" dataDxfId="39">
  <autoFilter ref="A12:A21" xr:uid="{3D377645-F534-460C-93B0-52745B95C757}">
    <filterColumn colId="0" hiddenButton="1"/>
  </autoFilter>
  <tableColumns count="1">
    <tableColumn id="1" xr3:uid="{C32E7349-D129-46EF-B005-BFCEAA3CECF8}" name="Logic Operations" dataDxfId="41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83C892A-A93E-48DF-90A3-2CFE8DAEBE18}" name="GroupFunctions_Table" displayName="GroupFunctions_Table" ref="A29:A32" totalsRowShown="0" headerRowDxfId="37" dataDxfId="36">
  <autoFilter ref="A29:A32" xr:uid="{D83C892A-A93E-48DF-90A3-2CFE8DAEBE18}">
    <filterColumn colId="0" hiddenButton="1"/>
  </autoFilter>
  <tableColumns count="1">
    <tableColumn id="1" xr3:uid="{F2F15FDB-10C8-482A-BFAF-2184C1ED25E7}" name="Group Functions" dataDxfId="38"/>
  </tableColumns>
  <tableStyleInfo name="TableStyleLight10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3E20C05-8E66-415E-AED8-84CC3E07E050}" name="Cards_Table" displayName="Cards_Table" ref="C12:C20" totalsRowShown="0" headerRowDxfId="34" dataDxfId="33">
  <autoFilter ref="C12:C20" xr:uid="{D3E20C05-8E66-415E-AED8-84CC3E07E050}">
    <filterColumn colId="0" hiddenButton="1"/>
  </autoFilter>
  <tableColumns count="1">
    <tableColumn id="1" xr3:uid="{2A5854DD-5299-4C65-AF5F-503E132013FC}" name="Cards" dataDxfId="35"/>
  </tableColumns>
  <tableStyleInfo name="TableStyleLight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F7B5F3B-82B4-45A1-937F-5802BA27FA77}" name="Devices_Table" displayName="Devices_Table" ref="E17:E25" totalsRowShown="0" headerRowDxfId="31" dataDxfId="30">
  <autoFilter ref="E17:E25" xr:uid="{DF7B5F3B-82B4-45A1-937F-5802BA27FA77}">
    <filterColumn colId="0" hiddenButton="1"/>
  </autoFilter>
  <tableColumns count="1">
    <tableColumn id="1" xr3:uid="{28ED522F-450E-44DD-A16C-B53A0A20ED1A}" name="Devices" dataDxfId="32"/>
  </tableColumns>
  <tableStyleInfo name="TableStyleLight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7FF35FC0-542F-4135-8A47-E41490752F3D}" name="CardTypes_Table" displayName="CardTypes_Table" ref="C22:C25" totalsRowShown="0" headerRowDxfId="28" dataDxfId="27">
  <autoFilter ref="C22:C25" xr:uid="{7FF35FC0-542F-4135-8A47-E41490752F3D}">
    <filterColumn colId="0" hiddenButton="1"/>
  </autoFilter>
  <tableColumns count="1">
    <tableColumn id="1" xr3:uid="{8A653751-1403-4D26-8855-CAAEE9CF3D98}" name="Card Types" dataDxfId="29"/>
  </tableColumns>
  <tableStyleInfo name="TableStyleLight10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3C40A630-D8BB-426D-A6A4-2223BF3B0371}" name="ConditionTriggers_Table" displayName="ConditionTriggers_Table" ref="E12:E15" totalsRowShown="0" headerRowDxfId="25" dataDxfId="24">
  <autoFilter ref="E12:E15" xr:uid="{3C40A630-D8BB-426D-A6A4-2223BF3B0371}">
    <filterColumn colId="0" hiddenButton="1"/>
  </autoFilter>
  <tableColumns count="1">
    <tableColumn id="1" xr3:uid="{EBD53C33-CD28-45E6-AA46-B23B7CD5C2D1}" name="Condition Triggers" dataDxfId="26"/>
  </tableColumns>
  <tableStyleInfo name="TableStyleLight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430B2219-C348-4CA5-BCC6-F64F5ADFBD81}" name="RuleNames_Table" displayName="RuleNames_Table" ref="G12:G44" totalsRowShown="0" headerRowDxfId="22" dataDxfId="21">
  <autoFilter ref="G12:G44" xr:uid="{430B2219-C348-4CA5-BCC6-F64F5ADFBD81}">
    <filterColumn colId="0" hiddenButton="1"/>
  </autoFilter>
  <tableColumns count="1">
    <tableColumn id="1" xr3:uid="{508E1CA3-EEC9-4C3B-8739-A9E1271673AE}" name="Rule Names" dataDxfId="23"/>
  </tableColumns>
  <tableStyleInfo name="TableStyleLight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53A0960C-C222-42C9-9292-27BA07A3E450}" name="AspectIndicators_Table" displayName="AspectIndicators_Table" ref="G1:G9" totalsRowShown="0" headerRowDxfId="19" dataDxfId="18">
  <autoFilter ref="G1:G9" xr:uid="{53A0960C-C222-42C9-9292-27BA07A3E450}">
    <filterColumn colId="0" hiddenButton="1"/>
  </autoFilter>
  <tableColumns count="1">
    <tableColumn id="1" xr3:uid="{B6E4E5BB-18BB-47E4-B7C6-4C2337F11D72}" name="Aspect Indicators" dataDxfId="20"/>
  </tableColumns>
  <tableStyleInfo name="TableStyleLight9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9EF6FD45-1F0A-4008-8C29-D08756965D4C}" name="LampSelection_Table" displayName="LampSelection_Table" ref="I1:I18" totalsRowShown="0" headerRowDxfId="16" dataDxfId="15">
  <autoFilter ref="I1:I18" xr:uid="{9EF6FD45-1F0A-4008-8C29-D08756965D4C}">
    <filterColumn colId="0" hiddenButton="1"/>
  </autoFilter>
  <tableColumns count="1">
    <tableColumn id="1" xr3:uid="{68C92323-CF08-408D-8868-B095576518CE}" name="Lamp Selection" dataDxfId="17"/>
  </tableColumns>
  <tableStyleInfo name="TableStyleLight9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EFF57E02-C0EC-476D-BD25-266578ECDFCC}" name="CardBus_Table" displayName="CardBus_Table" ref="C27:C29" totalsRowShown="0" headerRowDxfId="13" dataDxfId="12">
  <autoFilter ref="C27:C29" xr:uid="{EFF57E02-C0EC-476D-BD25-266578ECDFCC}">
    <filterColumn colId="0" hiddenButton="1"/>
  </autoFilter>
  <tableColumns count="1">
    <tableColumn id="1" xr3:uid="{4507C032-AAB9-47B6-AE6F-BECE7C3A7EB5}" name="Card Bus" dataDxfId="14"/>
  </tableColumns>
  <tableStyleInfo name="TableStyleLight9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AB35A6F8-FFEB-4FF9-9007-7907909F4910}" name="Table15" displayName="Table15" ref="C31:C39" totalsRowShown="0" headerRowDxfId="10" dataDxfId="9">
  <autoFilter ref="C31:C39" xr:uid="{AB35A6F8-FFEB-4FF9-9007-7907909F4910}">
    <filterColumn colId="0" hiddenButton="1"/>
  </autoFilter>
  <tableColumns count="1">
    <tableColumn id="1" xr3:uid="{781A0C72-4725-4D25-A079-498840D22EAF}" name="Card Address" dataDxfId="11"/>
  </tableColumns>
  <tableStyleInfo name="TableStyleLight9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207B2FA9-C63D-4A9C-91FB-BB9503D1F56E}" name="MastOperational_Table" displayName="MastOperational_Table" ref="E27:E30" totalsRowShown="0" headerRowDxfId="7" dataDxfId="6">
  <autoFilter ref="E27:E30" xr:uid="{207B2FA9-C63D-4A9C-91FB-BB9503D1F56E}">
    <filterColumn colId="0" hiddenButton="1"/>
  </autoFilter>
  <tableColumns count="1">
    <tableColumn id="1" xr3:uid="{8B2FE1A1-5115-448C-84D2-C0145A4C0F78}" name="Mast Operational" dataDxfId="8"/>
  </tableColumns>
  <tableStyleInfo name="TableStyleLight9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7CE69AAA-C1EB-4122-811C-56A355328097}" name="Table19" displayName="Table19" ref="E32:E34" totalsRowShown="0" headerRowDxfId="4" dataDxfId="3">
  <autoFilter ref="E32:E34" xr:uid="{7CE69AAA-C1EB-4122-811C-56A355328097}">
    <filterColumn colId="0" hiddenButton="1"/>
  </autoFilter>
  <tableColumns count="1">
    <tableColumn id="1" xr3:uid="{09E18919-AE28-42A6-A430-FF5C6EECC49B}" name="Fade" dataDxfId="5"/>
  </tableColumns>
  <tableStyleInfo name="TableStyleLight9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E6974489-84CE-425A-9A07-4504CE69A011}" name="Phase_Table" displayName="Phase_Table" ref="E36:E44" totalsRowShown="0" headerRowDxfId="1" dataDxfId="0">
  <autoFilter ref="E36:E44" xr:uid="{E6974489-84CE-425A-9A07-4504CE69A011}">
    <filterColumn colId="0" hiddenButton="1"/>
  </autoFilter>
  <tableColumns count="1">
    <tableColumn id="1" xr3:uid="{98ABC6FD-0128-4BBA-85C4-ED0E54FE4405}" name="Phase" dataDxfId="2"/>
  </tableColumns>
  <tableStyleInfo name="TableStyleLight9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Integral">
  <a:themeElements>
    <a:clrScheme name="Integral">
      <a:dk1>
        <a:sysClr val="windowText" lastClr="000000"/>
      </a:dk1>
      <a:lt1>
        <a:sysClr val="window" lastClr="FFFFFF"/>
      </a:lt1>
      <a:dk2>
        <a:srgbClr val="335B74"/>
      </a:dk2>
      <a:lt2>
        <a:srgbClr val="DFE3E5"/>
      </a:lt2>
      <a:accent1>
        <a:srgbClr val="1CADE4"/>
      </a:accent1>
      <a:accent2>
        <a:srgbClr val="2683C6"/>
      </a:accent2>
      <a:accent3>
        <a:srgbClr val="27CED7"/>
      </a:accent3>
      <a:accent4>
        <a:srgbClr val="42BA97"/>
      </a:accent4>
      <a:accent5>
        <a:srgbClr val="3E8853"/>
      </a:accent5>
      <a:accent6>
        <a:srgbClr val="62A39F"/>
      </a:accent6>
      <a:hlink>
        <a:srgbClr val="6B9F25"/>
      </a:hlink>
      <a:folHlink>
        <a:srgbClr val="B26B02"/>
      </a:folHlink>
    </a:clrScheme>
    <a:fontScheme name="Integral">
      <a:majorFont>
        <a:latin typeface="Tw Cen MT Condensed" panose="020B0606020104020203"/>
        <a:ea typeface=""/>
        <a:cs typeface=""/>
        <a:font script="Grek" typeface="Calibri"/>
        <a:font script="Cyrl" typeface="Calibri"/>
        <a:font script="Jpan" typeface="メイリオ"/>
        <a:font script="Hang" typeface="HY얕은샘물M"/>
        <a:font script="Hans" typeface="华文仿宋"/>
        <a:font script="Hant" typeface="微軟正黑體"/>
        <a:font script="Arab" typeface="Arial"/>
        <a:font script="Hebr" typeface="Levenim MT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Tw Cen MT" panose="020B0602020104020603"/>
        <a:ea typeface=""/>
        <a:cs typeface=""/>
        <a:font script="Grek" typeface="Calibri"/>
        <a:font script="Cyrl" typeface="Calibri"/>
        <a:font script="Jpan" typeface="メイリオ"/>
        <a:font script="Hang" typeface="HY얕은샘물M"/>
        <a:font script="Hans" typeface="华文仿宋"/>
        <a:font script="Hant" typeface="微軟正黑體"/>
        <a:font script="Arab" typeface="Arial"/>
        <a:font script="Hebr" typeface="Levenim MT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Integral">
      <a:fillStyleLst>
        <a:solidFill>
          <a:schemeClr val="phClr"/>
        </a:solidFill>
        <a:gradFill rotWithShape="1">
          <a:gsLst>
            <a:gs pos="0">
              <a:schemeClr val="phClr">
                <a:tint val="83000"/>
                <a:satMod val="100000"/>
                <a:lumMod val="100000"/>
              </a:schemeClr>
            </a:gs>
            <a:gs pos="100000">
              <a:schemeClr val="phClr">
                <a:tint val="61000"/>
                <a:satMod val="150000"/>
                <a:lumMod val="100000"/>
              </a:schemeClr>
            </a:gs>
          </a:gsLst>
          <a:path path="circle">
            <a:fillToRect l="100000" t="100000" r="100000" b="100000"/>
          </a:path>
        </a:gradFill>
        <a:gradFill rotWithShape="1">
          <a:gsLst>
            <a:gs pos="0">
              <a:schemeClr val="phClr">
                <a:tint val="100000"/>
                <a:shade val="85000"/>
                <a:satMod val="100000"/>
                <a:lumMod val="100000"/>
              </a:schemeClr>
            </a:gs>
            <a:gs pos="100000">
              <a:schemeClr val="phClr">
                <a:tint val="90000"/>
                <a:shade val="100000"/>
                <a:satMod val="150000"/>
                <a:lumMod val="100000"/>
              </a:schemeClr>
            </a:gs>
          </a:gsLst>
          <a:path path="circle">
            <a:fillToRect l="100000" t="100000" r="100000" b="10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12700" dir="5400000" algn="ctr" rotWithShape="0">
              <a:srgbClr val="000000">
                <a:alpha val="50000"/>
              </a:srgbClr>
            </a:outerShdw>
          </a:effectLst>
        </a:effectStyle>
        <a:effectStyle>
          <a:effectLst>
            <a:outerShdw blurRad="76200" dist="25400" dir="54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">
              <a:rot lat="0" lon="0" rev="3600000"/>
            </a:lightRig>
          </a:scene3d>
          <a:sp3d contourW="12700" prstMaterial="flat">
            <a:bevelT w="38100" h="44450" prst="angle"/>
            <a:contourClr>
              <a:schemeClr val="phClr">
                <a:shade val="35000"/>
                <a:satMod val="160000"/>
              </a:schemeClr>
            </a:contourClr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hade val="85000"/>
            <a:satMod val="125000"/>
          </a:schemeClr>
        </a:solidFill>
        <a:blipFill rotWithShape="1">
          <a:blip xmlns:r="http://schemas.openxmlformats.org/officeDocument/2006/relationships" r:embed="rId1">
            <a:duotone>
              <a:schemeClr val="phClr">
                <a:tint val="95000"/>
                <a:shade val="74000"/>
                <a:satMod val="230000"/>
              </a:schemeClr>
              <a:schemeClr val="phClr">
                <a:tint val="92000"/>
                <a:shade val="69000"/>
                <a:satMod val="250000"/>
              </a:schemeClr>
            </a:duotone>
          </a:blip>
          <a:tile tx="0" ty="0" sx="40000" sy="40000" flip="none" algn="tl"/>
        </a:blip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Integral" id="{3577F8C9-A904-41D8-97D2-FD898F53F20E}" vid="{682D6EBE-8D36-4FF2-9DB3-F3D8D7B6715D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13" Type="http://schemas.openxmlformats.org/officeDocument/2006/relationships/table" Target="../tables/table13.xml"/><Relationship Id="rId18" Type="http://schemas.openxmlformats.org/officeDocument/2006/relationships/table" Target="../tables/table1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12" Type="http://schemas.openxmlformats.org/officeDocument/2006/relationships/table" Target="../tables/table12.xml"/><Relationship Id="rId17" Type="http://schemas.openxmlformats.org/officeDocument/2006/relationships/table" Target="../tables/table17.xml"/><Relationship Id="rId2" Type="http://schemas.openxmlformats.org/officeDocument/2006/relationships/table" Target="../tables/table2.xml"/><Relationship Id="rId16" Type="http://schemas.openxmlformats.org/officeDocument/2006/relationships/table" Target="../tables/table16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11" Type="http://schemas.openxmlformats.org/officeDocument/2006/relationships/table" Target="../tables/table11.xml"/><Relationship Id="rId5" Type="http://schemas.openxmlformats.org/officeDocument/2006/relationships/table" Target="../tables/table5.xml"/><Relationship Id="rId15" Type="http://schemas.openxmlformats.org/officeDocument/2006/relationships/table" Target="../tables/table15.xml"/><Relationship Id="rId10" Type="http://schemas.openxmlformats.org/officeDocument/2006/relationships/table" Target="../tables/table10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Relationship Id="rId1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2698B8-F701-46F6-A785-E7F7D80BAFA2}">
  <sheetPr codeName="Sheet1"/>
  <dimension ref="A1:N2669"/>
  <sheetViews>
    <sheetView tabSelected="1" workbookViewId="0">
      <selection activeCell="E5" sqref="E5"/>
    </sheetView>
  </sheetViews>
  <sheetFormatPr defaultRowHeight="11.25" x14ac:dyDescent="0.2"/>
  <cols>
    <col min="1" max="1" width="19.875" style="2" customWidth="1"/>
    <col min="2" max="2" width="20.5" style="2" customWidth="1"/>
    <col min="3" max="3" width="14.125" style="2" customWidth="1"/>
    <col min="4" max="4" width="14.5" style="2" customWidth="1"/>
    <col min="5" max="5" width="25.625" style="2" customWidth="1"/>
    <col min="6" max="6" width="4.25" style="2" customWidth="1"/>
    <col min="7" max="7" width="20.375" style="2" customWidth="1"/>
    <col min="8" max="8" width="27.75" style="2" customWidth="1"/>
    <col min="9" max="9" width="24.125" style="51" customWidth="1"/>
    <col min="10" max="10" width="2.5" style="42" customWidth="1"/>
    <col min="11" max="11" width="16.875" style="2" customWidth="1"/>
    <col min="12" max="12" width="17.125" style="18" customWidth="1"/>
    <col min="13" max="13" width="19.125" style="45" customWidth="1"/>
    <col min="14" max="16384" width="9" style="2"/>
  </cols>
  <sheetData>
    <row r="1" spans="1:14" x14ac:dyDescent="0.2">
      <c r="A1" s="11"/>
      <c r="B1" s="35"/>
      <c r="C1" s="35"/>
      <c r="D1" s="35"/>
      <c r="E1" s="35"/>
      <c r="F1" s="35"/>
      <c r="G1" s="35"/>
      <c r="H1" s="35"/>
      <c r="I1" s="46"/>
    </row>
    <row r="2" spans="1:14" ht="12" customHeight="1" x14ac:dyDescent="0.25">
      <c r="A2" s="11" t="s">
        <v>36</v>
      </c>
      <c r="B2" s="1" t="s">
        <v>37</v>
      </c>
      <c r="C2" s="35"/>
      <c r="D2" s="35"/>
      <c r="E2" s="35"/>
      <c r="F2" s="35"/>
      <c r="G2" s="35"/>
      <c r="H2" s="35"/>
      <c r="I2" s="46"/>
      <c r="K2" s="20" t="s">
        <v>191</v>
      </c>
      <c r="L2" s="20"/>
      <c r="M2" s="20"/>
    </row>
    <row r="3" spans="1:14" ht="11.25" customHeight="1" x14ac:dyDescent="0.25">
      <c r="A3" s="11"/>
      <c r="B3" s="35"/>
      <c r="C3" s="35"/>
      <c r="D3" s="35" t="s">
        <v>189</v>
      </c>
      <c r="E3" s="35"/>
      <c r="F3" s="35"/>
      <c r="G3" s="35"/>
      <c r="H3" s="35"/>
      <c r="I3" s="46"/>
      <c r="K3" s="39" t="s">
        <v>192</v>
      </c>
      <c r="L3" s="39"/>
      <c r="M3" s="38" t="s">
        <v>230</v>
      </c>
      <c r="N3" s="38"/>
    </row>
    <row r="4" spans="1:14" ht="15" customHeight="1" x14ac:dyDescent="0.2">
      <c r="A4" s="11" t="s">
        <v>179</v>
      </c>
      <c r="B4" s="1" t="s">
        <v>28</v>
      </c>
      <c r="C4" s="35"/>
      <c r="D4" s="35"/>
      <c r="E4" s="35"/>
      <c r="F4" s="35"/>
      <c r="G4" s="35"/>
      <c r="H4" s="35"/>
      <c r="I4" s="46"/>
      <c r="K4" s="4" t="s">
        <v>193</v>
      </c>
      <c r="L4" s="5"/>
    </row>
    <row r="5" spans="1:14" ht="15" customHeight="1" x14ac:dyDescent="0.2">
      <c r="A5" s="36"/>
      <c r="B5" s="36"/>
      <c r="C5" s="36"/>
      <c r="D5" s="36"/>
      <c r="E5" s="36"/>
      <c r="F5" s="36"/>
      <c r="G5" s="35"/>
      <c r="H5" s="35"/>
      <c r="I5" s="46"/>
      <c r="K5" s="6" t="s">
        <v>162</v>
      </c>
      <c r="L5" s="7">
        <v>100</v>
      </c>
      <c r="M5" s="45" t="str">
        <f>K$2 &amp; "." &amp; K$3 &amp; "." &amp; K$4 &amp; "." &amp; K5 &amp; "=" &amp; L5</f>
        <v>Signal Masts and Track Circuits.Signal Mast Configuration(0).Card Information Configuration.Reference ID=100</v>
      </c>
    </row>
    <row r="6" spans="1:14" x14ac:dyDescent="0.2">
      <c r="A6" s="36"/>
      <c r="B6" s="36"/>
      <c r="C6" s="36"/>
      <c r="D6" s="36"/>
      <c r="E6" s="36"/>
      <c r="F6" s="36"/>
      <c r="G6" s="35"/>
      <c r="H6" s="35"/>
      <c r="I6" s="46"/>
      <c r="K6" s="6" t="s">
        <v>56</v>
      </c>
      <c r="L6" s="7" t="s">
        <v>161</v>
      </c>
      <c r="M6" s="45" t="str">
        <f>K$2 &amp; "." &amp; K$3 &amp; "." &amp; K$4 &amp; "." &amp; K6 &amp; "=" &amp; L6</f>
        <v>Signal Masts and Track Circuits.Signal Mast Configuration(0).Card Information Configuration.Description=&lt;enter text&gt;</v>
      </c>
    </row>
    <row r="7" spans="1:14" ht="11.25" customHeight="1" x14ac:dyDescent="0.2">
      <c r="A7" s="36"/>
      <c r="B7" s="36"/>
      <c r="C7" s="36"/>
      <c r="D7" s="36"/>
      <c r="E7" s="36"/>
      <c r="F7" s="37"/>
      <c r="G7" s="35"/>
      <c r="H7" s="35"/>
      <c r="I7" s="47"/>
      <c r="K7" s="4" t="s">
        <v>194</v>
      </c>
      <c r="L7" s="5"/>
    </row>
    <row r="8" spans="1:14" ht="15" customHeight="1" x14ac:dyDescent="0.2">
      <c r="A8" s="36"/>
      <c r="B8" s="36"/>
      <c r="C8" s="36"/>
      <c r="D8" s="36"/>
      <c r="E8" s="36"/>
      <c r="F8" s="36"/>
      <c r="G8" s="35"/>
      <c r="H8" s="35"/>
      <c r="I8" s="47"/>
      <c r="K8" s="6" t="s">
        <v>163</v>
      </c>
      <c r="L8" s="8" t="s">
        <v>168</v>
      </c>
      <c r="M8" s="45" t="str">
        <f>K$2 &amp; "." &amp; K$3 &amp; "." &amp; K$7 &amp; "." &amp; K8 &amp; "=" &amp; MATCH(L8, CardBus_List,0)-1</f>
        <v>Signal Masts and Track Circuits.Signal Mast Configuration(0).Card Communications Configuration.Card Communications Bus=0</v>
      </c>
    </row>
    <row r="9" spans="1:14" ht="12" customHeight="1" x14ac:dyDescent="0.2">
      <c r="A9" s="35"/>
      <c r="B9" s="35"/>
      <c r="C9" s="35"/>
      <c r="D9" s="35"/>
      <c r="E9" s="35"/>
      <c r="F9" s="35"/>
      <c r="G9" s="35"/>
      <c r="H9" s="35"/>
      <c r="I9" s="47"/>
      <c r="K9" s="6" t="s">
        <v>164</v>
      </c>
      <c r="L9" s="9" t="s">
        <v>173</v>
      </c>
      <c r="M9" s="45" t="str">
        <f>K$2 &amp; "." &amp; K$3 &amp; "." &amp; K$7 &amp; "." &amp; K9 &amp; "=" &amp; MATCH(L9, CardAddress_List,0)-1</f>
        <v>Signal Masts and Track Circuits.Signal Mast Configuration(0).Card Communications Configuration.Card Communications Address=2</v>
      </c>
    </row>
    <row r="10" spans="1:14" ht="17.25" customHeight="1" thickBot="1" x14ac:dyDescent="0.3">
      <c r="A10" s="10" t="s">
        <v>195</v>
      </c>
      <c r="B10" s="20" t="s">
        <v>85</v>
      </c>
      <c r="C10" s="20"/>
      <c r="D10" s="20"/>
      <c r="E10" s="20"/>
      <c r="F10" s="20"/>
      <c r="G10" s="22" t="s">
        <v>219</v>
      </c>
      <c r="H10" s="22"/>
      <c r="I10" s="48"/>
      <c r="K10" s="39" t="s">
        <v>198</v>
      </c>
      <c r="L10" s="39"/>
      <c r="M10" s="39"/>
    </row>
    <row r="11" spans="1:14" ht="23.25" customHeight="1" x14ac:dyDescent="0.25">
      <c r="A11" s="24" t="s">
        <v>183</v>
      </c>
      <c r="B11" s="1" t="s">
        <v>26</v>
      </c>
      <c r="C11" s="24" t="s">
        <v>56</v>
      </c>
      <c r="D11" s="29" t="s">
        <v>161</v>
      </c>
      <c r="E11" s="30"/>
      <c r="F11" s="3"/>
      <c r="G11" s="38" t="s">
        <v>220</v>
      </c>
      <c r="H11" s="38"/>
      <c r="I11" s="49" t="s">
        <v>230</v>
      </c>
      <c r="J11" s="43"/>
      <c r="K11" s="6" t="s">
        <v>89</v>
      </c>
      <c r="L11" s="12" t="s">
        <v>90</v>
      </c>
      <c r="M11" s="45" t="str">
        <f>K$2 &amp; "." &amp; K$3 &amp; "." &amp; K$10 &amp; "." &amp; K11 &amp; "=" &amp; L11</f>
        <v>Signal Masts and Track Circuits.Signal Mast Configuration(0).Rule To Aspect Mapping Configuration(0).Mast Operational Mode=Normal</v>
      </c>
    </row>
    <row r="12" spans="1:14" ht="17.25" customHeight="1" thickBot="1" x14ac:dyDescent="0.3">
      <c r="A12" s="21" t="s">
        <v>57</v>
      </c>
      <c r="B12" s="21"/>
      <c r="C12" s="19" t="s">
        <v>190</v>
      </c>
      <c r="D12" s="21" t="s">
        <v>58</v>
      </c>
      <c r="E12" s="21"/>
      <c r="F12" s="3"/>
      <c r="G12" s="24" t="s">
        <v>56</v>
      </c>
      <c r="H12" s="23" t="str">
        <f>D11</f>
        <v>&lt;enter text&gt;</v>
      </c>
      <c r="I12" s="50" t="str">
        <f xml:space="preserve"> G10 &amp; "." &amp; G11 &amp; "." &amp; G12 &amp; "=" &amp; H12</f>
        <v>Logics and Conditionals.Logics and Conditional Configuration(0).Description=&lt;enter text&gt;</v>
      </c>
      <c r="K12" s="6" t="s">
        <v>165</v>
      </c>
      <c r="L12" s="12" t="s">
        <v>161</v>
      </c>
      <c r="M12" s="45" t="str">
        <f>K$2 &amp; "." &amp; K$3 &amp; "." &amp; K$10 &amp; "." &amp; K12 &amp; "=" &amp; L12</f>
        <v>Signal Masts and Track Circuits.Signal Mast Configuration(0).Rule To Aspect Mapping Configuration(0).Mast Identifer=&lt;enter text&gt;</v>
      </c>
    </row>
    <row r="13" spans="1:14" ht="23.25" customHeight="1" x14ac:dyDescent="0.2">
      <c r="A13" s="11" t="s">
        <v>60</v>
      </c>
      <c r="B13" s="1" t="s">
        <v>79</v>
      </c>
      <c r="C13" s="1" t="s">
        <v>63</v>
      </c>
      <c r="D13" s="11" t="s">
        <v>60</v>
      </c>
      <c r="E13" s="1" t="s">
        <v>79</v>
      </c>
      <c r="F13" s="3"/>
      <c r="G13" s="24" t="s">
        <v>183</v>
      </c>
      <c r="H13" s="23" t="str">
        <f>B11</f>
        <v>Last (Logic is last or only logic in a group)</v>
      </c>
      <c r="I13" s="50" t="str">
        <f xml:space="preserve"> G10 &amp; "." &amp; G11 &amp; "." &amp; G13 &amp; "=" &amp; MATCH(H13,GroupFunctions_List,0)-1</f>
        <v>Logics and Conditionals.Logics and Conditional Configuration(0).Group Functionality=2</v>
      </c>
      <c r="K13" s="6" t="s">
        <v>91</v>
      </c>
      <c r="L13" s="14" t="str" cm="1">
        <f t="array" ref="L13">GetEventID.GetEventID($B$2, MATCH($B$4, Cards_List)-1, 5,  14*16)</f>
        <v>05.01.01.01.5C.65.05.E0</v>
      </c>
      <c r="M13" s="45" t="str">
        <f>K$2 &amp; "." &amp; K$3 &amp; "." &amp; K$10 &amp; "." &amp; K13 &amp; "=" &amp; L13</f>
        <v>Signal Masts and Track Circuits.Signal Mast Configuration(0).Rule To Aspect Mapping Configuration(0).Track Circuit Link Event ID=05.01.01.01.5C.65.05.E0</v>
      </c>
    </row>
    <row r="14" spans="1:14" ht="13.5" x14ac:dyDescent="0.25">
      <c r="A14" s="11" t="s">
        <v>59</v>
      </c>
      <c r="B14" s="1" t="s">
        <v>10</v>
      </c>
      <c r="C14" s="4"/>
      <c r="D14" s="11" t="s">
        <v>59</v>
      </c>
      <c r="E14" s="1" t="s">
        <v>84</v>
      </c>
      <c r="F14" s="3"/>
      <c r="G14" s="40" t="s">
        <v>184</v>
      </c>
      <c r="H14" s="40"/>
      <c r="I14" s="50"/>
      <c r="K14" s="6" t="s">
        <v>92</v>
      </c>
      <c r="L14" s="12" t="s">
        <v>10</v>
      </c>
      <c r="M14" s="45" t="str">
        <f>K$2 &amp; "." &amp; K$3 &amp; "." &amp; K$10 &amp; "." &amp; K14 &amp; "=" &amp; L14</f>
        <v>Signal Masts and Track Circuits.Signal Mast Configuration(0).Rule To Aspect Mapping Configuration(0).Lamp Fade=None</v>
      </c>
    </row>
    <row r="15" spans="1:14" ht="23.25" x14ac:dyDescent="0.25">
      <c r="A15" s="11" t="s">
        <v>185</v>
      </c>
      <c r="B15" s="1" t="s">
        <v>7</v>
      </c>
      <c r="C15" s="4"/>
      <c r="D15" s="11" t="s">
        <v>185</v>
      </c>
      <c r="E15" s="1" t="s">
        <v>0</v>
      </c>
      <c r="F15" s="3"/>
      <c r="G15" s="25" t="s">
        <v>60</v>
      </c>
      <c r="H15" s="23" t="str">
        <f>B13</f>
        <v>Event ID</v>
      </c>
      <c r="I15" s="50" t="str">
        <f xml:space="preserve"> G10 &amp; "." &amp; G11 &amp; "." &amp; G14 &amp; "." &amp; G15 &amp; "=" &amp;  MATCH(H15,ConditionSources_List,0)-1</f>
        <v>Logics and Conditionals.Logics and Conditional Configuration(0).Condition 1 Configuration.Condition's Source=0</v>
      </c>
      <c r="K15" s="39" t="s">
        <v>199</v>
      </c>
      <c r="L15" s="39"/>
      <c r="M15" s="39"/>
    </row>
    <row r="16" spans="1:14" ht="15" customHeight="1" x14ac:dyDescent="0.2">
      <c r="A16" s="11" t="s">
        <v>39</v>
      </c>
      <c r="B16" s="1" t="s">
        <v>42</v>
      </c>
      <c r="C16" s="4"/>
      <c r="D16" s="11" t="s">
        <v>180</v>
      </c>
      <c r="E16" s="1" t="s">
        <v>182</v>
      </c>
      <c r="F16" s="3"/>
      <c r="G16" s="25" t="s">
        <v>59</v>
      </c>
      <c r="H16" s="23" t="str">
        <f>B14</f>
        <v>None</v>
      </c>
      <c r="I16" s="50" t="str">
        <f>G10&amp;"."&amp;G11&amp;"."&amp;G14&amp;"."&amp;G16&amp;"="&amp;IF(ISNA(MATCH(H16,ConditionTriggers_List,0)), 2,MATCH(H16,ConditionTriggers_List,0)-1)</f>
        <v>Logics and Conditionals.Logics and Conditional Configuration(0).Condition 1 Configuration.Condition's Trigger=2</v>
      </c>
      <c r="K16" s="6" t="s">
        <v>93</v>
      </c>
      <c r="L16" s="12" t="s">
        <v>100</v>
      </c>
      <c r="M16" s="45" t="str">
        <f>K$2 &amp; "." &amp; K$3 &amp; "." &amp; K$10 &amp; "." &amp; K$15 &amp;  "." &amp; K16 &amp; "=" &amp;  MATCH(L16, RulesName_List,0)-1</f>
        <v>Signal Masts and Track Circuits.Signal Mast Configuration(0).Rule To Aspect Mapping Configuration(0).Rules Configuration(0).Rule Name=0</v>
      </c>
    </row>
    <row r="17" spans="1:13" ht="14.25" customHeight="1" x14ac:dyDescent="0.2">
      <c r="A17" s="11" t="s">
        <v>38</v>
      </c>
      <c r="B17" s="1" t="s">
        <v>28</v>
      </c>
      <c r="C17" s="4"/>
      <c r="D17" s="11" t="s">
        <v>180</v>
      </c>
      <c r="E17" s="1" t="s">
        <v>182</v>
      </c>
      <c r="F17" s="3"/>
      <c r="G17" s="25" t="s">
        <v>185</v>
      </c>
      <c r="H17" s="23" t="str">
        <f>B15</f>
        <v>Restricting/Tumble Down</v>
      </c>
      <c r="I17" s="50" t="str">
        <f>IF(ISNUMBER(SEARCH("not",B15)),"", G10 &amp; "." &amp; G11 &amp; "." &amp;G14&amp;"." &amp; G17 &amp; "=" &amp; MATCH(B15,TrackSpeeds_List,0)-1)</f>
        <v>Logics and Conditionals.Logics and Conditional Configuration(0).Condition 1 Configuration.Condition's Track Circuit Speed=1</v>
      </c>
      <c r="K17" s="6" t="s">
        <v>94</v>
      </c>
      <c r="L17" s="12" t="s">
        <v>0</v>
      </c>
      <c r="M17" s="45" t="str">
        <f>K$2 &amp; "." &amp; K$3 &amp; "." &amp; K$10 &amp; "." &amp; K$15 &amp;  "." &amp; K17 &amp; "=" &amp; MATCH(L17, TrackSpeeds_List,0)-1</f>
        <v>Signal Masts and Track Circuits.Signal Mast Configuration(0).Rule To Aspect Mapping Configuration(0).Rules Configuration(0).Rule Track Speed=0</v>
      </c>
    </row>
    <row r="18" spans="1:13" x14ac:dyDescent="0.2">
      <c r="A18" s="11" t="s">
        <v>40</v>
      </c>
      <c r="B18" s="1" t="s">
        <v>47</v>
      </c>
      <c r="C18" s="4"/>
      <c r="D18" s="11" t="s">
        <v>180</v>
      </c>
      <c r="E18" s="1" t="s">
        <v>181</v>
      </c>
      <c r="F18" s="3"/>
      <c r="G18" s="25" t="s">
        <v>61</v>
      </c>
      <c r="H18" s="23" t="str">
        <f>B20</f>
        <v>05.01.01.01.5C.65.00.01</v>
      </c>
      <c r="I18" s="50" t="str">
        <f>IF(ISNUMBER(SEARCH("not",H18)),"",G10 &amp; "." &amp; G11 &amp; "." &amp; G14 &amp; "." &amp; G18 &amp; "=" &amp; H18)</f>
        <v>Logics and Conditionals.Logics and Conditional Configuration(0).Condition 1 Configuration.Condition's True Event ID=05.01.01.01.5C.65.00.01</v>
      </c>
      <c r="K18" s="6" t="s">
        <v>95</v>
      </c>
      <c r="L18" s="12" t="s">
        <v>133</v>
      </c>
      <c r="M18" s="45" t="str">
        <f>K$2 &amp; "." &amp; K$3 &amp; "." &amp; K$10 &amp; "." &amp; K$15 &amp;  "." &amp; K18 &amp; "=" &amp; MATCH(L18, AspectIndicators_List,0)-1</f>
        <v>Signal Masts and Track Circuits.Signal Mast Configuration(0).Rule To Aspect Mapping Configuration(0).Rules Configuration(0).Rule's Aspect Indicator=0</v>
      </c>
    </row>
    <row r="19" spans="1:13" x14ac:dyDescent="0.2">
      <c r="A19" s="11" t="s">
        <v>55</v>
      </c>
      <c r="B19" s="15" t="str" cm="1">
        <f t="array" ref="B19">IF(B13=INDEX(ConditionSources_List,1),GenerateEventID.GenerateEventID($B$2, MATCH(B17, Cards_Table[Cards],0)-1, MATCH(B16, CardTypes_Table[Card Types],0)-1,  MATCH(B18, Devices_Table[Devices],0)-1, FALSE), "&lt;skip, not used&gt;")</f>
        <v>05.01.01.01.5C.65.00.00</v>
      </c>
      <c r="C19" s="4"/>
      <c r="D19" s="11" t="s">
        <v>55</v>
      </c>
      <c r="E19" s="15" t="str" cm="1">
        <f t="array" ref="E19">IF(E13=INDEX(ConditionSources_List,1),GenerateEventID.GenerateEventID($B$2, MATCH(E17, Cards_Table[Cards],0)-1, MATCH(E16, CardTypes_Table[Card Types],0)-1,  MATCH(E18, Devices_Table[Devices],0)-1, FALSE), "&lt;skip, not used&gt;")</f>
        <v>Waiting on selection</v>
      </c>
      <c r="F19" s="3"/>
      <c r="G19" s="25" t="s">
        <v>62</v>
      </c>
      <c r="H19" s="23" t="str">
        <f>B19</f>
        <v>05.01.01.01.5C.65.00.00</v>
      </c>
      <c r="I19" s="50" t="str">
        <f>IF(ISNUMBER(SEARCH("not",H19)),"",G10 &amp; "." &amp; G11 &amp; "." &amp; G14 &amp; "." &amp; G19 &amp; "=" &amp; H19)</f>
        <v>Logics and Conditionals.Logics and Conditional Configuration(0).Condition 1 Configuration.Condition's False Event ID=05.01.01.01.5C.65.00.00</v>
      </c>
      <c r="K19" s="6" t="s">
        <v>96</v>
      </c>
      <c r="L19" s="14" t="str" cm="1">
        <f t="array" ref="L19">GetEventID.GetEventID($B$2, MATCH(B$4, Cards_Table[Cards],0)-1, 5,  MATCH(L$23,LampSelection_List,0))</f>
        <v>05.01.01.01.5C.65.05.02</v>
      </c>
      <c r="M19" s="45" t="str">
        <f>K$2 &amp; "." &amp; K$3 &amp; "." &amp; K$10 &amp; "." &amp; K$15 &amp;  "." &amp; K19 &amp; "=" &amp; L19</f>
        <v>Signal Masts and Track Circuits.Signal Mast Configuration(0).Rule To Aspect Mapping Configuration(0).Rules Configuration(0).Set Aspect Event ID=05.01.01.01.5C.65.05.02</v>
      </c>
    </row>
    <row r="20" spans="1:13" x14ac:dyDescent="0.2">
      <c r="A20" s="11" t="s">
        <v>45</v>
      </c>
      <c r="B20" s="16" t="str" cm="1">
        <f t="array" ref="B20">IF(B13=INDEX(ConditionSources_List,1),GenerateEventID.GenerateEventID($B$2, MATCH(B17, Cards_Table[Cards],0)-1, MATCH(B16, CardTypes_Table[Card Types],0)-1,  MATCH(B18, Devices_Table[Devices],0)-1, TRUE), "&lt;skip, not used&gt;")</f>
        <v>05.01.01.01.5C.65.00.01</v>
      </c>
      <c r="C20" s="41"/>
      <c r="D20" s="17" t="s">
        <v>45</v>
      </c>
      <c r="E20" s="16" t="str" cm="1">
        <f t="array" ref="E20">IF(E13=INDEX(ConditionSources_List,1),GenerateEventID.GenerateEventID($B$2, MATCH(E17, Cards_Table[Cards],0)-1, MATCH(E16, CardTypes_Table[Card Types],0)-1,  MATCH(E18, Devices_Table[Devices],0)-1, TRUE), "&lt;skip, not used&gt;")</f>
        <v>Waiting on selection</v>
      </c>
      <c r="F20" s="3"/>
      <c r="G20" s="25" t="s">
        <v>158</v>
      </c>
      <c r="H20" s="23" t="str">
        <f>C13</f>
        <v>Condition 1 Only</v>
      </c>
      <c r="I20" s="50" t="str">
        <f xml:space="preserve"> G10 &amp; "." &amp; G11 &amp; "." &amp; G14 &amp; "." &amp; G20 &amp; "=" &amp; MATCH(H20,LogicOperations_List,0)-1</f>
        <v>Logics and Conditionals.Logics and Conditional Configuration(0).Condition 1 Configuration.Logic Conditional Operation=6</v>
      </c>
      <c r="K20" s="6" t="s">
        <v>203</v>
      </c>
      <c r="L20" s="14" t="str" cm="1">
        <f t="array" ref="L20">GetEventID.GetEventID($B$2, MATCH(B$4, Cards_Table[Cards],0)-1, 5,  MATCH(L$23,LampSelection_List,0)+1)</f>
        <v>05.01.01.01.5C.65.05.03</v>
      </c>
      <c r="M20" s="45" t="str">
        <f>K$2 &amp; "." &amp; K$3 &amp; "." &amp; K$10 &amp; "." &amp; K$15 &amp;  "." &amp; K20 &amp; "=" &amp; L20</f>
        <v>Signal Masts and Track Circuits.Signal Mast Configuration(0).Rule To Aspect Mapping Configuration(0).Rules Configuration(0).Aspect Set Event ID=05.01.01.01.5C.65.05.03</v>
      </c>
    </row>
    <row r="21" spans="1:13" ht="13.5" x14ac:dyDescent="0.25">
      <c r="A21" s="4"/>
      <c r="B21" s="4"/>
      <c r="C21" s="4"/>
      <c r="D21" s="4"/>
      <c r="E21" s="4"/>
      <c r="F21" s="3"/>
      <c r="G21" s="40" t="s">
        <v>86</v>
      </c>
      <c r="H21" s="40"/>
      <c r="I21" s="50"/>
      <c r="K21" s="6" t="s">
        <v>204</v>
      </c>
      <c r="L21" s="14" t="str" cm="1">
        <f t="array" ref="L21">GetEventID.GetEventID($B$2, MATCH(B$4, Cards_Table[Cards],0)-1, 5,  MATCH(L$23,LampSelection_List,0)+2)</f>
        <v>05.01.01.01.5C.65.05.04</v>
      </c>
      <c r="M21" s="45" t="str">
        <f>K$2 &amp; "." &amp; K$3 &amp; "." &amp; K$10 &amp; "." &amp; K$15 &amp;  "." &amp; K21 &amp; "=" &amp; L21</f>
        <v>Signal Masts and Track Circuits.Signal Mast Configuration(0).Rule To Aspect Mapping Configuration(0).Rules Configuration(0).Aspect Cleared Event ID=05.01.01.01.5C.65.05.04</v>
      </c>
    </row>
    <row r="22" spans="1:13" ht="15.75" customHeight="1" x14ac:dyDescent="0.25">
      <c r="A22" s="11" t="s">
        <v>225</v>
      </c>
      <c r="B22" s="26" t="s">
        <v>224</v>
      </c>
      <c r="C22" s="27"/>
      <c r="D22" s="27"/>
      <c r="E22" s="28"/>
      <c r="F22" s="3"/>
      <c r="G22" s="25" t="s">
        <v>60</v>
      </c>
      <c r="H22" s="23" t="str">
        <f>E13</f>
        <v>Event ID</v>
      </c>
      <c r="I22" s="50" t="str">
        <f xml:space="preserve"> G10 &amp; "." &amp; G11 &amp; "." &amp; G21 &amp; "." &amp; G22 &amp; "=" &amp; MATCH(H22,ConditionSources_List,0)-1</f>
        <v>Logics and Conditionals.Logics and Conditional Configuration(0).Condition 2 Configuration.Condition's Source=0</v>
      </c>
      <c r="K22" s="39" t="s">
        <v>200</v>
      </c>
      <c r="L22" s="39"/>
      <c r="M22" s="39"/>
    </row>
    <row r="23" spans="1:13" ht="14.25" customHeight="1" x14ac:dyDescent="0.2">
      <c r="A23" s="11" t="s">
        <v>218</v>
      </c>
      <c r="B23" s="26" t="s">
        <v>223</v>
      </c>
      <c r="C23" s="27"/>
      <c r="D23" s="27"/>
      <c r="E23" s="28"/>
      <c r="F23" s="3"/>
      <c r="G23" s="25" t="s">
        <v>59</v>
      </c>
      <c r="H23" s="23" t="str">
        <f>E14</f>
        <v>When Condition's Event ID or Speed Occurs</v>
      </c>
      <c r="I23" s="50" t="str">
        <f xml:space="preserve"> G10 &amp; "." &amp; G11 &amp; "." &amp; G21 &amp; "." &amp; G23 &amp; "=" &amp; IF(ISNA(MATCH(H23,ConditionTriggers_List,0)), 2,MATCH(H23,ConditionTriggers_List,0)-1)</f>
        <v>Logics and Conditionals.Logics and Conditional Configuration(0).Condition 2 Configuration.Condition's Trigger=1</v>
      </c>
      <c r="K23" s="6" t="s">
        <v>98</v>
      </c>
      <c r="L23" s="12" t="s">
        <v>142</v>
      </c>
      <c r="M23" s="45" t="str">
        <f>K$2 &amp; "." &amp;  K$3 &amp; "." &amp; K$10 &amp; "."  &amp; K15 &amp; "." &amp; K16 &amp;  "." &amp; K$22 &amp; "." &amp; K23 &amp;   "=" &amp; MATCH(L23, LampSelection_List,0)-1</f>
        <v>Signal Masts and Track Circuits.Signal Mast Configuration(0).Rule To Aspect Mapping Configuration(0).Rules Configuration(0).Rule Name.Lamp Configuration(0).Lamp Selection=1</v>
      </c>
    </row>
    <row r="24" spans="1:13" x14ac:dyDescent="0.2">
      <c r="A24" s="4"/>
      <c r="B24" s="4"/>
      <c r="C24" s="4"/>
      <c r="D24" s="4"/>
      <c r="E24" s="4"/>
      <c r="F24" s="3"/>
      <c r="G24" s="25" t="s">
        <v>185</v>
      </c>
      <c r="H24" s="23" t="str">
        <f>E15</f>
        <v>Stop</v>
      </c>
      <c r="I24" s="50" t="str">
        <f>IF(ISNUMBER(SEARCH("not",H24)),"",G10 &amp; "." &amp; G11 &amp; "." &amp; G21 &amp; "." &amp; G24 &amp; "=" &amp; H24)</f>
        <v>Logics and Conditionals.Logics and Conditional Configuration(0).Condition 2 Configuration.Condition's Track Circuit Speed=Stop</v>
      </c>
      <c r="K24" s="6" t="s">
        <v>97</v>
      </c>
      <c r="L24" s="12" t="s">
        <v>210</v>
      </c>
      <c r="M24" s="45" t="str">
        <f>K$2 &amp; "." &amp;  K$3 &amp; "." &amp; K$10 &amp; "."  &amp; K16 &amp; "." &amp; K17 &amp;  "." &amp; K$22 &amp; "." &amp; K24 &amp;   "=" &amp; MATCH(L24, Phase_List,0)-1</f>
        <v>Signal Masts and Track Circuits.Signal Mast Configuration(0).Rule To Aspect Mapping Configuration(0).Rule Name.Rule Track Speed.Lamp Configuration(0).Lamp Phase=0</v>
      </c>
    </row>
    <row r="25" spans="1:13" ht="14.25" customHeight="1" x14ac:dyDescent="0.2">
      <c r="A25" s="11" t="s">
        <v>186</v>
      </c>
      <c r="B25" s="29" t="s">
        <v>18</v>
      </c>
      <c r="C25" s="31"/>
      <c r="D25" s="11" t="s">
        <v>87</v>
      </c>
      <c r="E25" s="1" t="s">
        <v>11</v>
      </c>
      <c r="F25" s="3"/>
      <c r="G25" s="25" t="s">
        <v>61</v>
      </c>
      <c r="H25" s="23" t="str">
        <f>E20</f>
        <v>Waiting on selection</v>
      </c>
      <c r="I25" s="50" t="str">
        <f>IF(ISNUMBER(SEARCH("used",H25)),"", G10 &amp; "." &amp; G11 &amp; "." &amp; G21 &amp; "." &amp; G25 &amp; "=" &amp; H25)</f>
        <v>Logics and Conditionals.Logics and Conditional Configuration(0).Condition 2 Configuration.Condition's True Event ID=Waiting on selection</v>
      </c>
      <c r="K25" s="6" t="s">
        <v>201</v>
      </c>
      <c r="L25" s="12">
        <v>50</v>
      </c>
      <c r="M25" s="45" t="str">
        <f>K$2 &amp; "." &amp;  K$3 &amp; "." &amp; K$10 &amp; "."  &amp; K17 &amp; "." &amp; K18 &amp;  "." &amp; K$22 &amp; "." &amp; K25 &amp;   "=" &amp; L25</f>
        <v>Signal Masts and Track Circuits.Signal Mast Configuration(0).Rule To Aspect Mapping Configuration(0).Rule Track Speed.Rule's Aspect Indicator.Lamp Configuration(0).Lamp Brightness (%)=50</v>
      </c>
    </row>
    <row r="26" spans="1:13" ht="12.75" customHeight="1" x14ac:dyDescent="0.2">
      <c r="A26" s="11" t="s">
        <v>187</v>
      </c>
      <c r="B26" s="29" t="s">
        <v>18</v>
      </c>
      <c r="C26" s="31"/>
      <c r="D26" s="11" t="s">
        <v>88</v>
      </c>
      <c r="E26" s="13" t="s">
        <v>226</v>
      </c>
      <c r="F26" s="3"/>
      <c r="G26" s="25" t="s">
        <v>62</v>
      </c>
      <c r="H26" s="23" t="str">
        <f>E19</f>
        <v>Waiting on selection</v>
      </c>
      <c r="I26" s="50" t="str">
        <f>IF(ISNUMBER(SEARCH("used",H26)),"",G10 &amp; "." &amp; G11 &amp; "." &amp; G21 &amp; "." &amp; G26 &amp; "=" &amp; H26)</f>
        <v>Logics and Conditionals.Logics and Conditional Configuration(0).Condition 2 Configuration.Condition's False Event ID=Waiting on selection</v>
      </c>
      <c r="K26" s="6" t="s">
        <v>166</v>
      </c>
      <c r="L26" s="12">
        <v>1000000</v>
      </c>
      <c r="M26" s="45" t="str">
        <f>K$2 &amp; "." &amp;  K$3 &amp; "." &amp; K$10 &amp; "."  &amp; K18 &amp; "." &amp; K19 &amp;  "." &amp; K$22 &amp; "." &amp; K26 &amp;   "=" &amp; L26</f>
        <v>Signal Masts and Track Circuits.Signal Mast Configuration(0).Rule To Aspect Mapping Configuration(0).Rule's Aspect Indicator.Set Aspect Event ID.Lamp Configuration(0).Lamp Glow Effect Duration=1000000</v>
      </c>
    </row>
    <row r="27" spans="1:13" ht="13.5" x14ac:dyDescent="0.25">
      <c r="A27" s="4"/>
      <c r="B27" s="4"/>
      <c r="C27" s="4"/>
      <c r="D27" s="11" t="s">
        <v>87</v>
      </c>
      <c r="E27" s="1" t="s">
        <v>11</v>
      </c>
      <c r="F27" s="3"/>
      <c r="G27" s="25" t="s">
        <v>186</v>
      </c>
      <c r="H27" s="23" t="str">
        <f>B25</f>
        <v>Send Event ID, then Exit to Next Logic Group</v>
      </c>
      <c r="I27" s="50" t="str">
        <f xml:space="preserve"> G10 &amp; "." &amp; G11 &amp; "." &amp; G27 &amp; "=" &amp; MATCH(H27,GroupProcessing_List,0)-1</f>
        <v>Logics and Conditionals.Logics and Conditional Configuration(0).Logic Flow for True Condition=0</v>
      </c>
      <c r="K27" s="39" t="s">
        <v>202</v>
      </c>
      <c r="L27" s="39"/>
      <c r="M27" s="39"/>
    </row>
    <row r="28" spans="1:13" x14ac:dyDescent="0.2">
      <c r="A28" s="4"/>
      <c r="B28" s="4"/>
      <c r="C28" s="4"/>
      <c r="D28" s="11" t="s">
        <v>88</v>
      </c>
      <c r="E28" s="13" t="s">
        <v>226</v>
      </c>
      <c r="F28" s="3"/>
      <c r="G28" s="25" t="s">
        <v>187</v>
      </c>
      <c r="H28" s="23" t="str">
        <f>B26</f>
        <v>Send Event ID, then Exit to Next Logic Group</v>
      </c>
      <c r="I28" s="50" t="str">
        <f xml:space="preserve"> G10 &amp; "." &amp; G11 &amp; "." &amp; G28 &amp; "=" &amp; MATCH(H28,GroupProcessing_List,0)-1</f>
        <v>Logics and Conditionals.Logics and Conditional Configuration(0).Logic Flow for False  Condition=0</v>
      </c>
      <c r="K28" s="6" t="s">
        <v>98</v>
      </c>
      <c r="L28" s="12" t="s">
        <v>141</v>
      </c>
      <c r="M28" s="45" t="str">
        <f>K$2 &amp; "." &amp;  K$3 &amp; "." &amp; K$10 &amp; "."  &amp; K20 &amp; "." &amp; K21 &amp;  "." &amp; K$27 &amp; "." &amp; K28 &amp;   "=" &amp; L28</f>
        <v>Signal Masts and Track Circuits.Signal Mast Configuration(0).Rule To Aspect Mapping Configuration(0).Aspect Set Event ID.Aspect Cleared Event ID.Lamp Configuration(1).Lamp Selection=Unused</v>
      </c>
    </row>
    <row r="29" spans="1:13" x14ac:dyDescent="0.2">
      <c r="A29" s="4"/>
      <c r="B29" s="4"/>
      <c r="C29" s="4"/>
      <c r="D29" s="33" t="s">
        <v>227</v>
      </c>
      <c r="E29" s="33"/>
      <c r="F29" s="3"/>
      <c r="G29" s="25" t="s">
        <v>188</v>
      </c>
      <c r="H29" s="23" t="s">
        <v>228</v>
      </c>
      <c r="I29" s="50" t="str">
        <f>IF(ISNUMBER(SEARCH("default",H29)),"",G10 &amp; "." &amp; G11 &amp; "." &amp; G29 &amp; "=" &amp; H29)</f>
        <v/>
      </c>
      <c r="K29" s="6" t="s">
        <v>97</v>
      </c>
      <c r="L29" s="12" t="s">
        <v>210</v>
      </c>
      <c r="M29" s="45" t="str">
        <f>K$2 &amp; "." &amp;  K$3 &amp; "." &amp; K$10 &amp; "."  &amp; K21 &amp; "." &amp; K22 &amp;  "." &amp; K$27 &amp; "." &amp; K29 &amp;   "=" &amp; L29</f>
        <v>Signal Masts and Track Circuits.Signal Mast Configuration(0).Rule To Aspect Mapping Configuration(0).Aspect Cleared Event ID.Lamp Configuration(0).Lamp Configuration(1).Lamp Phase=Steady</v>
      </c>
    </row>
    <row r="30" spans="1:13" x14ac:dyDescent="0.2">
      <c r="A30" s="4"/>
      <c r="B30" s="4"/>
      <c r="C30" s="4"/>
      <c r="D30" s="33"/>
      <c r="E30" s="33"/>
      <c r="F30" s="3"/>
      <c r="G30" s="25" t="s">
        <v>159</v>
      </c>
      <c r="H30" s="23" t="s">
        <v>228</v>
      </c>
      <c r="I30" s="50" t="str">
        <f>IF(ISNUMBER(SEARCH("default",H30)),"",G10 &amp; "." &amp; G11 &amp; "." &amp; G30 &amp; "=" &amp; H30)</f>
        <v/>
      </c>
      <c r="J30" s="44"/>
      <c r="K30" s="6" t="s">
        <v>201</v>
      </c>
      <c r="L30" s="12">
        <v>50</v>
      </c>
      <c r="M30" s="45" t="str">
        <f>K$2 &amp; "." &amp;  K$3 &amp; "." &amp; K$10 &amp; "."  &amp; K22 &amp; "." &amp; K23 &amp;  "." &amp; K$27 &amp; "." &amp; K30 &amp;   "=" &amp; L30</f>
        <v>Signal Masts and Track Circuits.Signal Mast Configuration(0).Rule To Aspect Mapping Configuration(0).Lamp Configuration(0).Lamp Selection.Lamp Configuration(1).Lamp Brightness (%)=50</v>
      </c>
    </row>
    <row r="31" spans="1:13" ht="15" customHeight="1" x14ac:dyDescent="0.2">
      <c r="A31" s="4"/>
      <c r="B31" s="4"/>
      <c r="C31" s="4"/>
      <c r="D31" s="33"/>
      <c r="E31" s="33"/>
      <c r="F31" s="3"/>
      <c r="G31" s="25" t="s">
        <v>160</v>
      </c>
      <c r="H31" s="23" t="s">
        <v>229</v>
      </c>
      <c r="I31" s="50" t="str">
        <f>IF(ISNUMBER(SEARCH("default",H31)),"", G10 &amp; "." &amp; G11 &amp; "." &amp; G31 &amp; "=" &amp; H31)</f>
        <v/>
      </c>
      <c r="K31" s="6" t="s">
        <v>166</v>
      </c>
      <c r="L31" s="12">
        <v>1000000</v>
      </c>
      <c r="M31" s="45" t="str">
        <f>K$2 &amp; "." &amp;  K$3 &amp; "." &amp; K$10 &amp; "."  &amp; K23 &amp; "." &amp; K24 &amp;  "." &amp; K$27 &amp; "." &amp; K31 &amp;   "=" &amp; L31</f>
        <v>Signal Masts and Track Circuits.Signal Mast Configuration(0).Rule To Aspect Mapping Configuration(0).Lamp Selection.Lamp Phase.Lamp Configuration(1).Lamp Glow Effect Duration=1000000</v>
      </c>
    </row>
    <row r="32" spans="1:13" ht="13.5" x14ac:dyDescent="0.25">
      <c r="A32" s="4"/>
      <c r="B32" s="4"/>
      <c r="C32" s="4"/>
      <c r="D32" s="33"/>
      <c r="E32" s="33"/>
      <c r="F32" s="3"/>
      <c r="G32" s="40" t="s">
        <v>221</v>
      </c>
      <c r="H32" s="40"/>
      <c r="I32" s="50"/>
    </row>
    <row r="33" spans="1:11" x14ac:dyDescent="0.2">
      <c r="A33" s="4"/>
      <c r="B33" s="4"/>
      <c r="C33" s="4"/>
      <c r="D33" s="33"/>
      <c r="E33" s="33"/>
      <c r="F33" s="3"/>
      <c r="G33" s="25" t="s">
        <v>87</v>
      </c>
      <c r="H33" s="23" t="str">
        <f>E25</f>
        <v>Immediately</v>
      </c>
      <c r="I33" s="50" t="str">
        <f xml:space="preserve"> G10 &amp; "." &amp; G11 &amp; "." &amp; G32 &amp; "." &amp; G33 &amp; "=" &amp; H33</f>
        <v>Logics and Conditionals.Logics and Conditional Configuration(0).Actions Configuration(0).Action Trigger=Immediately</v>
      </c>
    </row>
    <row r="34" spans="1:11" x14ac:dyDescent="0.2">
      <c r="A34" s="4"/>
      <c r="B34" s="4"/>
      <c r="C34" s="4"/>
      <c r="D34" s="33"/>
      <c r="E34" s="33"/>
      <c r="F34" s="3"/>
      <c r="G34" s="25" t="s">
        <v>88</v>
      </c>
      <c r="H34" s="23" t="str" cm="1">
        <f t="array" ref="H34">IF(H33=INDEX(ActionTriggers_List,1),"Waiting on Selection", E26)</f>
        <v>05.01.01.01.5C.65.05.02</v>
      </c>
      <c r="I34" s="50" t="str">
        <f xml:space="preserve"> G10 &amp; "." &amp; G11 &amp; "." &amp; G32 &amp; "." &amp; G34 &amp; "=" &amp; H34</f>
        <v>Logics and Conditionals.Logics and Conditional Configuration(0).Actions Configuration(0).Action Event ID=05.01.01.01.5C.65.05.02</v>
      </c>
    </row>
    <row r="35" spans="1:11" ht="13.5" x14ac:dyDescent="0.25">
      <c r="A35" s="4"/>
      <c r="B35" s="4"/>
      <c r="C35" s="4"/>
      <c r="D35" s="33"/>
      <c r="E35" s="33"/>
      <c r="F35" s="3"/>
      <c r="G35" s="40" t="s">
        <v>222</v>
      </c>
      <c r="H35" s="40"/>
      <c r="I35" s="50"/>
    </row>
    <row r="36" spans="1:11" x14ac:dyDescent="0.2">
      <c r="A36" s="4"/>
      <c r="B36" s="4"/>
      <c r="C36" s="4"/>
      <c r="D36" s="33"/>
      <c r="E36" s="33"/>
      <c r="F36" s="3"/>
      <c r="G36" s="25" t="s">
        <v>87</v>
      </c>
      <c r="H36" s="23" t="str">
        <f>E27</f>
        <v>Immediately</v>
      </c>
      <c r="I36" s="50" t="str">
        <f xml:space="preserve"> G10 &amp; "." &amp; G11 &amp; "." &amp; G35 &amp; "." &amp; G36 &amp; "=" &amp; H36</f>
        <v>Logics and Conditionals.Logics and Conditional Configuration(0).Actions Configuration(1).Action Trigger=Immediately</v>
      </c>
    </row>
    <row r="37" spans="1:11" ht="15" customHeight="1" x14ac:dyDescent="0.2">
      <c r="A37" s="4" t="s">
        <v>196</v>
      </c>
      <c r="B37" s="4"/>
      <c r="C37" s="4"/>
      <c r="D37" s="33"/>
      <c r="E37" s="33"/>
      <c r="F37" s="3"/>
      <c r="G37" s="25" t="s">
        <v>88</v>
      </c>
      <c r="H37" s="23" t="str" cm="1">
        <f t="array" ref="H37">IF(H36=INDEX(ActionTriggers_List,1),"Waiting on Selection", E28)</f>
        <v>05.01.01.01.5C.65.05.02</v>
      </c>
      <c r="I37" s="50" t="str">
        <f xml:space="preserve"> G10 &amp; "." &amp; G11 &amp; "." &amp; G35 &amp; "." &amp; G37 &amp; "=" &amp; H37</f>
        <v>Logics and Conditionals.Logics and Conditional Configuration(0).Actions Configuration(1).Action Event ID=05.01.01.01.5C.65.05.02</v>
      </c>
      <c r="K37"/>
    </row>
    <row r="38" spans="1:11" ht="17.25" customHeight="1" x14ac:dyDescent="0.2"/>
    <row r="39" spans="1:11" ht="23.25" customHeight="1" x14ac:dyDescent="0.2"/>
    <row r="40" spans="1:11" ht="17.25" customHeight="1" x14ac:dyDescent="0.2"/>
    <row r="41" spans="1:11" ht="23.25" customHeight="1" x14ac:dyDescent="0.2"/>
    <row r="42" spans="1:11" ht="13.5" customHeight="1" x14ac:dyDescent="0.2"/>
    <row r="43" spans="1:11" ht="23.25" customHeight="1" x14ac:dyDescent="0.2"/>
    <row r="44" spans="1:11" ht="15" customHeight="1" x14ac:dyDescent="0.2"/>
    <row r="45" spans="1:11" ht="14.25" customHeight="1" x14ac:dyDescent="0.2"/>
    <row r="46" spans="1:11" ht="11.25" customHeight="1" x14ac:dyDescent="0.2"/>
    <row r="47" spans="1:11" ht="11.25" customHeight="1" x14ac:dyDescent="0.2"/>
    <row r="48" spans="1:11" ht="11.25" customHeight="1" x14ac:dyDescent="0.2"/>
    <row r="49" ht="13.5" customHeight="1" x14ac:dyDescent="0.2"/>
    <row r="50" ht="15.75" customHeight="1" x14ac:dyDescent="0.2"/>
    <row r="51" ht="14.25" customHeight="1" x14ac:dyDescent="0.2"/>
    <row r="52" ht="11.25" customHeight="1" x14ac:dyDescent="0.2"/>
    <row r="53" ht="14.25" customHeight="1" x14ac:dyDescent="0.2"/>
    <row r="54" ht="12.75" customHeight="1" x14ac:dyDescent="0.2"/>
    <row r="55" ht="13.5" customHeight="1" x14ac:dyDescent="0.2"/>
    <row r="56" ht="11.25" customHeight="1" x14ac:dyDescent="0.2"/>
    <row r="57" ht="11.25" customHeight="1" x14ac:dyDescent="0.2"/>
    <row r="58" ht="11.25" customHeight="1" x14ac:dyDescent="0.2"/>
    <row r="59" ht="15" customHeight="1" x14ac:dyDescent="0.2"/>
    <row r="60" ht="13.5" customHeight="1" x14ac:dyDescent="0.2"/>
    <row r="61" ht="11.25" customHeight="1" x14ac:dyDescent="0.2"/>
    <row r="62" ht="11.25" customHeight="1" x14ac:dyDescent="0.2"/>
    <row r="63" ht="13.5" customHeight="1" x14ac:dyDescent="0.2"/>
    <row r="64" ht="11.25" customHeight="1" x14ac:dyDescent="0.2"/>
    <row r="65" ht="15" customHeight="1" x14ac:dyDescent="0.2"/>
    <row r="66" ht="17.25" customHeight="1" x14ac:dyDescent="0.2"/>
    <row r="67" ht="17.25" customHeight="1" x14ac:dyDescent="0.2"/>
    <row r="68" ht="17.25" customHeight="1" x14ac:dyDescent="0.2"/>
    <row r="69" ht="23.25" customHeight="1" x14ac:dyDescent="0.2"/>
    <row r="70" ht="12.75" customHeight="1" x14ac:dyDescent="0.2"/>
    <row r="71" ht="24.75" customHeight="1" x14ac:dyDescent="0.2"/>
    <row r="72" ht="15" customHeight="1" x14ac:dyDescent="0.2"/>
    <row r="73" ht="14.25" customHeight="1" x14ac:dyDescent="0.2"/>
    <row r="74" ht="12.75" customHeight="1" x14ac:dyDescent="0.2"/>
    <row r="75" ht="12" customHeight="1" x14ac:dyDescent="0.2"/>
    <row r="76" ht="12" customHeight="1" x14ac:dyDescent="0.2"/>
    <row r="77" ht="12.75" customHeight="1" x14ac:dyDescent="0.2"/>
    <row r="78" ht="15.75" customHeight="1" x14ac:dyDescent="0.2"/>
    <row r="79" ht="14.25" customHeight="1" x14ac:dyDescent="0.2"/>
    <row r="80" ht="12" customHeight="1" x14ac:dyDescent="0.2"/>
    <row r="81" ht="14.25" customHeight="1" x14ac:dyDescent="0.2"/>
    <row r="82" ht="12.75" customHeight="1" x14ac:dyDescent="0.2"/>
    <row r="83" ht="12" customHeight="1" x14ac:dyDescent="0.2"/>
    <row r="84" ht="12" customHeight="1" x14ac:dyDescent="0.2"/>
    <row r="85" ht="12" customHeight="1" x14ac:dyDescent="0.2"/>
    <row r="86" ht="12" customHeight="1" x14ac:dyDescent="0.2"/>
    <row r="87" ht="15" customHeight="1" x14ac:dyDescent="0.2"/>
    <row r="88" ht="12" customHeight="1" x14ac:dyDescent="0.2"/>
    <row r="89" ht="12" customHeight="1" x14ac:dyDescent="0.2"/>
    <row r="90" ht="12" customHeight="1" x14ac:dyDescent="0.2"/>
    <row r="91" ht="12" customHeight="1" x14ac:dyDescent="0.2"/>
    <row r="92" ht="12.75" customHeight="1" x14ac:dyDescent="0.2"/>
    <row r="93" ht="15" customHeight="1" x14ac:dyDescent="0.2"/>
    <row r="94" ht="17.25" customHeight="1" x14ac:dyDescent="0.2"/>
    <row r="95" ht="17.25" customHeight="1" x14ac:dyDescent="0.2"/>
    <row r="96" ht="17.25" customHeight="1" x14ac:dyDescent="0.2"/>
    <row r="97" spans="11:11" ht="23.25" customHeight="1" x14ac:dyDescent="0.2"/>
    <row r="98" spans="11:11" ht="12.75" customHeight="1" x14ac:dyDescent="0.2"/>
    <row r="99" spans="11:11" ht="24.75" customHeight="1" x14ac:dyDescent="0.2"/>
    <row r="100" spans="11:11" ht="15" customHeight="1" x14ac:dyDescent="0.2">
      <c r="K100" s="2" t="s">
        <v>197</v>
      </c>
    </row>
    <row r="101" spans="11:11" ht="14.25" customHeight="1" x14ac:dyDescent="0.2">
      <c r="K101" s="2" t="s">
        <v>197</v>
      </c>
    </row>
    <row r="102" spans="11:11" ht="12.75" customHeight="1" x14ac:dyDescent="0.2">
      <c r="K102" s="2" t="s">
        <v>197</v>
      </c>
    </row>
    <row r="103" spans="11:11" ht="12" customHeight="1" x14ac:dyDescent="0.2">
      <c r="K103" s="2" t="s">
        <v>197</v>
      </c>
    </row>
    <row r="104" spans="11:11" ht="12" customHeight="1" x14ac:dyDescent="0.2">
      <c r="K104" s="2" t="s">
        <v>197</v>
      </c>
    </row>
    <row r="105" spans="11:11" ht="12.75" customHeight="1" x14ac:dyDescent="0.2">
      <c r="K105" s="2" t="s">
        <v>197</v>
      </c>
    </row>
    <row r="106" spans="11:11" ht="15.75" customHeight="1" x14ac:dyDescent="0.2">
      <c r="K106" s="2" t="s">
        <v>197</v>
      </c>
    </row>
    <row r="107" spans="11:11" ht="14.25" customHeight="1" x14ac:dyDescent="0.2">
      <c r="K107" s="2" t="s">
        <v>197</v>
      </c>
    </row>
    <row r="108" spans="11:11" ht="12" customHeight="1" x14ac:dyDescent="0.2">
      <c r="K108" s="2" t="s">
        <v>197</v>
      </c>
    </row>
    <row r="109" spans="11:11" ht="14.25" customHeight="1" x14ac:dyDescent="0.2">
      <c r="K109" s="2" t="s">
        <v>197</v>
      </c>
    </row>
    <row r="110" spans="11:11" ht="12.75" customHeight="1" x14ac:dyDescent="0.2">
      <c r="K110" s="2" t="s">
        <v>197</v>
      </c>
    </row>
    <row r="111" spans="11:11" ht="12" customHeight="1" x14ac:dyDescent="0.2">
      <c r="K111" s="2" t="s">
        <v>197</v>
      </c>
    </row>
    <row r="112" spans="11:11" ht="12" customHeight="1" x14ac:dyDescent="0.2"/>
    <row r="113" ht="12" customHeight="1" x14ac:dyDescent="0.2"/>
    <row r="114" ht="12" customHeight="1" x14ac:dyDescent="0.2"/>
    <row r="115" ht="15" customHeight="1" x14ac:dyDescent="0.2"/>
    <row r="116" ht="12" customHeight="1" x14ac:dyDescent="0.2"/>
    <row r="117" ht="12" customHeight="1" x14ac:dyDescent="0.2"/>
    <row r="118" ht="12" customHeight="1" x14ac:dyDescent="0.2"/>
    <row r="119" ht="12" customHeight="1" x14ac:dyDescent="0.2"/>
    <row r="120" ht="12.75" customHeight="1" x14ac:dyDescent="0.2"/>
    <row r="121" ht="15" customHeight="1" x14ac:dyDescent="0.2"/>
    <row r="122" ht="15" customHeight="1" x14ac:dyDescent="0.2"/>
    <row r="123" ht="15" customHeight="1" x14ac:dyDescent="0.2"/>
    <row r="124" ht="15" customHeight="1" x14ac:dyDescent="0.2"/>
    <row r="125" ht="15" customHeight="1" x14ac:dyDescent="0.2"/>
    <row r="126" ht="15" customHeight="1" x14ac:dyDescent="0.2"/>
    <row r="127" ht="15" customHeight="1" x14ac:dyDescent="0.2"/>
    <row r="128" ht="15" customHeight="1" x14ac:dyDescent="0.2"/>
    <row r="129" ht="15" customHeight="1" x14ac:dyDescent="0.2"/>
    <row r="130" ht="15" customHeight="1" x14ac:dyDescent="0.2"/>
    <row r="131" ht="15" customHeight="1" x14ac:dyDescent="0.2"/>
    <row r="132" ht="15" customHeight="1" x14ac:dyDescent="0.2"/>
    <row r="133" ht="15" customHeight="1" x14ac:dyDescent="0.2"/>
    <row r="134" ht="15" customHeight="1" x14ac:dyDescent="0.2"/>
    <row r="135" ht="15" customHeight="1" x14ac:dyDescent="0.2"/>
    <row r="136" ht="15" customHeight="1" x14ac:dyDescent="0.2"/>
    <row r="137" ht="15" customHeight="1" x14ac:dyDescent="0.2"/>
    <row r="138" ht="15" customHeight="1" x14ac:dyDescent="0.2"/>
    <row r="139" ht="15" customHeight="1" x14ac:dyDescent="0.2"/>
    <row r="140" ht="15" customHeight="1" x14ac:dyDescent="0.2"/>
    <row r="141" ht="15" customHeight="1" x14ac:dyDescent="0.2"/>
    <row r="142" ht="15" customHeight="1" x14ac:dyDescent="0.2"/>
    <row r="143" ht="15" customHeight="1" x14ac:dyDescent="0.2"/>
    <row r="144" ht="15" customHeight="1" x14ac:dyDescent="0.2"/>
    <row r="145" ht="15" customHeight="1" x14ac:dyDescent="0.2"/>
    <row r="146" ht="15" customHeight="1" x14ac:dyDescent="0.2"/>
    <row r="147" ht="15" customHeight="1" x14ac:dyDescent="0.2"/>
    <row r="148" ht="15" customHeight="1" x14ac:dyDescent="0.2"/>
    <row r="149" ht="15" customHeight="1" x14ac:dyDescent="0.2"/>
    <row r="150" ht="17.25" customHeight="1" x14ac:dyDescent="0.2"/>
    <row r="151" ht="17.25" customHeight="1" x14ac:dyDescent="0.2"/>
    <row r="152" ht="17.25" customHeight="1" x14ac:dyDescent="0.2"/>
    <row r="153" ht="23.25" customHeight="1" x14ac:dyDescent="0.2"/>
    <row r="154" ht="12.75" customHeight="1" x14ac:dyDescent="0.2"/>
    <row r="155" ht="24.75" customHeight="1" x14ac:dyDescent="0.2"/>
    <row r="156" ht="15" customHeight="1" x14ac:dyDescent="0.2"/>
    <row r="157" ht="14.25" customHeight="1" x14ac:dyDescent="0.2"/>
    <row r="158" ht="12.75" customHeight="1" x14ac:dyDescent="0.2"/>
    <row r="159" ht="12" customHeight="1" x14ac:dyDescent="0.2"/>
    <row r="160" ht="12" customHeight="1" x14ac:dyDescent="0.2"/>
    <row r="161" ht="12.75" customHeight="1" x14ac:dyDescent="0.2"/>
    <row r="162" ht="15.75" customHeight="1" x14ac:dyDescent="0.2"/>
    <row r="163" ht="14.25" customHeight="1" x14ac:dyDescent="0.2"/>
    <row r="164" ht="12" customHeight="1" x14ac:dyDescent="0.2"/>
    <row r="165" ht="14.25" customHeight="1" x14ac:dyDescent="0.2"/>
    <row r="166" ht="12.75" customHeight="1" x14ac:dyDescent="0.2"/>
    <row r="167" ht="12" customHeight="1" x14ac:dyDescent="0.2"/>
    <row r="168" ht="12" customHeight="1" x14ac:dyDescent="0.2"/>
    <row r="169" ht="12" customHeight="1" x14ac:dyDescent="0.2"/>
    <row r="170" ht="12" customHeight="1" x14ac:dyDescent="0.2"/>
    <row r="171" ht="15" customHeight="1" x14ac:dyDescent="0.2"/>
    <row r="172" ht="12" customHeight="1" x14ac:dyDescent="0.2"/>
    <row r="173" ht="12" customHeight="1" x14ac:dyDescent="0.2"/>
    <row r="174" ht="12" customHeight="1" x14ac:dyDescent="0.2"/>
    <row r="175" ht="12" customHeight="1" x14ac:dyDescent="0.2"/>
    <row r="176" ht="12.75" customHeight="1" x14ac:dyDescent="0.2"/>
    <row r="177" ht="15" customHeight="1" x14ac:dyDescent="0.2"/>
    <row r="178" ht="17.25" customHeight="1" x14ac:dyDescent="0.2"/>
    <row r="179" ht="17.25" customHeight="1" x14ac:dyDescent="0.2"/>
    <row r="180" ht="17.25" customHeight="1" x14ac:dyDescent="0.2"/>
    <row r="181" ht="23.25" customHeight="1" x14ac:dyDescent="0.2"/>
    <row r="182" ht="12.75" customHeight="1" x14ac:dyDescent="0.2"/>
    <row r="183" ht="24.75" customHeight="1" x14ac:dyDescent="0.2"/>
    <row r="184" ht="15" customHeight="1" x14ac:dyDescent="0.2"/>
    <row r="185" ht="14.25" customHeight="1" x14ac:dyDescent="0.2"/>
    <row r="186" ht="12.75" customHeight="1" x14ac:dyDescent="0.2"/>
    <row r="187" ht="12" customHeight="1" x14ac:dyDescent="0.2"/>
    <row r="188" ht="12" customHeight="1" x14ac:dyDescent="0.2"/>
    <row r="189" ht="12.75" customHeight="1" x14ac:dyDescent="0.2"/>
    <row r="190" ht="15.75" customHeight="1" x14ac:dyDescent="0.2"/>
    <row r="191" ht="14.25" customHeight="1" x14ac:dyDescent="0.2"/>
    <row r="192" ht="12" customHeight="1" x14ac:dyDescent="0.2"/>
    <row r="193" ht="14.25" customHeight="1" x14ac:dyDescent="0.2"/>
    <row r="194" ht="12.75" customHeight="1" x14ac:dyDescent="0.2"/>
    <row r="195" ht="12" customHeight="1" x14ac:dyDescent="0.2"/>
    <row r="196" ht="12" customHeight="1" x14ac:dyDescent="0.2"/>
    <row r="197" ht="12" customHeight="1" x14ac:dyDescent="0.2"/>
    <row r="198" ht="12" customHeight="1" x14ac:dyDescent="0.2"/>
    <row r="199" ht="15" customHeight="1" x14ac:dyDescent="0.2"/>
    <row r="200" ht="12" customHeight="1" x14ac:dyDescent="0.2"/>
    <row r="201" ht="12" customHeight="1" x14ac:dyDescent="0.2"/>
    <row r="202" ht="12" customHeight="1" x14ac:dyDescent="0.2"/>
    <row r="203" ht="12" customHeight="1" x14ac:dyDescent="0.2"/>
    <row r="204" ht="12.75" customHeight="1" x14ac:dyDescent="0.2"/>
    <row r="205" ht="15" customHeight="1" x14ac:dyDescent="0.2"/>
    <row r="206" ht="17.25" customHeight="1" x14ac:dyDescent="0.2"/>
    <row r="207" ht="17.25" customHeight="1" x14ac:dyDescent="0.2"/>
    <row r="208" ht="23.25" customHeight="1" x14ac:dyDescent="0.2"/>
    <row r="209" ht="12.75" customHeight="1" x14ac:dyDescent="0.2"/>
    <row r="210" ht="24.75" customHeight="1" x14ac:dyDescent="0.2"/>
    <row r="211" ht="15" customHeight="1" x14ac:dyDescent="0.2"/>
    <row r="212" ht="14.25" customHeight="1" x14ac:dyDescent="0.2"/>
    <row r="213" ht="12.75" customHeight="1" x14ac:dyDescent="0.2"/>
    <row r="214" ht="12" customHeight="1" x14ac:dyDescent="0.2"/>
    <row r="215" ht="12" customHeight="1" x14ac:dyDescent="0.2"/>
    <row r="216" ht="12.75" customHeight="1" x14ac:dyDescent="0.2"/>
    <row r="217" ht="15.75" customHeight="1" x14ac:dyDescent="0.2"/>
    <row r="218" ht="14.25" customHeight="1" x14ac:dyDescent="0.2"/>
    <row r="219" ht="12" customHeight="1" x14ac:dyDescent="0.2"/>
    <row r="220" ht="14.25" customHeight="1" x14ac:dyDescent="0.2"/>
    <row r="221" ht="12.75" customHeight="1" x14ac:dyDescent="0.2"/>
    <row r="222" ht="12" customHeight="1" x14ac:dyDescent="0.2"/>
    <row r="223" ht="12" customHeight="1" x14ac:dyDescent="0.2"/>
    <row r="224" ht="12" customHeight="1" x14ac:dyDescent="0.2"/>
    <row r="225" ht="12" customHeight="1" x14ac:dyDescent="0.2"/>
    <row r="226" ht="15" customHeight="1" x14ac:dyDescent="0.2"/>
    <row r="227" ht="12" customHeight="1" x14ac:dyDescent="0.2"/>
    <row r="228" ht="12" customHeight="1" x14ac:dyDescent="0.2"/>
    <row r="229" ht="12" customHeight="1" x14ac:dyDescent="0.2"/>
    <row r="230" ht="12" customHeight="1" x14ac:dyDescent="0.2"/>
    <row r="231" ht="12.75" customHeight="1" x14ac:dyDescent="0.2"/>
    <row r="232" ht="15" customHeight="1" x14ac:dyDescent="0.2"/>
    <row r="233" ht="15" customHeight="1" x14ac:dyDescent="0.2"/>
    <row r="234" ht="15" customHeight="1" x14ac:dyDescent="0.2"/>
    <row r="235" ht="15" customHeight="1" x14ac:dyDescent="0.2"/>
    <row r="236" ht="15" customHeight="1" x14ac:dyDescent="0.2"/>
    <row r="237" ht="15" customHeight="1" x14ac:dyDescent="0.2"/>
    <row r="238" ht="15" customHeight="1" x14ac:dyDescent="0.2"/>
    <row r="239" ht="15" customHeight="1" x14ac:dyDescent="0.2"/>
    <row r="240" ht="15" customHeight="1" x14ac:dyDescent="0.2"/>
    <row r="241" ht="15" customHeight="1" x14ac:dyDescent="0.2"/>
    <row r="242" ht="15" customHeight="1" x14ac:dyDescent="0.2"/>
    <row r="243" ht="15" customHeight="1" x14ac:dyDescent="0.2"/>
    <row r="244" ht="15" customHeight="1" x14ac:dyDescent="0.2"/>
    <row r="245" ht="15" customHeight="1" x14ac:dyDescent="0.2"/>
    <row r="246" ht="15" customHeight="1" x14ac:dyDescent="0.2"/>
    <row r="247" ht="15" customHeight="1" x14ac:dyDescent="0.2"/>
    <row r="248" ht="15" customHeight="1" x14ac:dyDescent="0.2"/>
    <row r="249" ht="15" customHeight="1" x14ac:dyDescent="0.2"/>
    <row r="250" ht="15" customHeight="1" x14ac:dyDescent="0.2"/>
    <row r="251" ht="15" customHeight="1" x14ac:dyDescent="0.2"/>
    <row r="252" ht="15" customHeight="1" x14ac:dyDescent="0.2"/>
    <row r="253" ht="15" customHeight="1" x14ac:dyDescent="0.2"/>
    <row r="254" ht="15" customHeight="1" x14ac:dyDescent="0.2"/>
    <row r="255" ht="15" customHeight="1" x14ac:dyDescent="0.2"/>
    <row r="256" ht="15" customHeight="1" x14ac:dyDescent="0.2"/>
    <row r="257" ht="15" customHeight="1" x14ac:dyDescent="0.2"/>
    <row r="258" ht="15" customHeight="1" x14ac:dyDescent="0.2"/>
    <row r="259" ht="15" customHeight="1" x14ac:dyDescent="0.2"/>
    <row r="260" ht="15" customHeight="1" x14ac:dyDescent="0.2"/>
    <row r="261" ht="15" customHeight="1" x14ac:dyDescent="0.2"/>
    <row r="262" ht="17.25" customHeight="1" x14ac:dyDescent="0.2"/>
    <row r="263" ht="17.25" customHeight="1" x14ac:dyDescent="0.2"/>
    <row r="264" ht="17.25" customHeight="1" x14ac:dyDescent="0.2"/>
    <row r="265" ht="23.25" customHeight="1" x14ac:dyDescent="0.2"/>
    <row r="266" ht="12.75" customHeight="1" x14ac:dyDescent="0.2"/>
    <row r="267" ht="24.75" customHeight="1" x14ac:dyDescent="0.2"/>
    <row r="268" ht="15" customHeight="1" x14ac:dyDescent="0.2"/>
    <row r="269" ht="14.25" customHeight="1" x14ac:dyDescent="0.2"/>
    <row r="270" ht="12.75" customHeight="1" x14ac:dyDescent="0.2"/>
    <row r="271" ht="12" customHeight="1" x14ac:dyDescent="0.2"/>
    <row r="272" ht="12" customHeight="1" x14ac:dyDescent="0.2"/>
    <row r="273" ht="12.75" customHeight="1" x14ac:dyDescent="0.2"/>
    <row r="274" ht="15.75" customHeight="1" x14ac:dyDescent="0.2"/>
    <row r="275" ht="14.25" customHeight="1" x14ac:dyDescent="0.2"/>
    <row r="276" ht="12" customHeight="1" x14ac:dyDescent="0.2"/>
    <row r="277" ht="14.25" customHeight="1" x14ac:dyDescent="0.2"/>
    <row r="278" ht="12.75" customHeight="1" x14ac:dyDescent="0.2"/>
    <row r="279" ht="12" customHeight="1" x14ac:dyDescent="0.2"/>
    <row r="280" ht="12" customHeight="1" x14ac:dyDescent="0.2"/>
    <row r="281" ht="12" customHeight="1" x14ac:dyDescent="0.2"/>
    <row r="282" ht="12" customHeight="1" x14ac:dyDescent="0.2"/>
    <row r="283" ht="15" customHeight="1" x14ac:dyDescent="0.2"/>
    <row r="284" ht="12" customHeight="1" x14ac:dyDescent="0.2"/>
    <row r="285" ht="12" customHeight="1" x14ac:dyDescent="0.2"/>
    <row r="286" ht="12" customHeight="1" x14ac:dyDescent="0.2"/>
    <row r="287" ht="12" customHeight="1" x14ac:dyDescent="0.2"/>
    <row r="288" ht="12.75" customHeight="1" x14ac:dyDescent="0.2"/>
    <row r="289" ht="15" customHeight="1" x14ac:dyDescent="0.2"/>
    <row r="290" ht="17.25" customHeight="1" x14ac:dyDescent="0.2"/>
    <row r="291" ht="17.25" customHeight="1" x14ac:dyDescent="0.2"/>
    <row r="292" ht="17.25" customHeight="1" x14ac:dyDescent="0.2"/>
    <row r="293" ht="23.25" customHeight="1" x14ac:dyDescent="0.2"/>
    <row r="294" ht="12.75" customHeight="1" x14ac:dyDescent="0.2"/>
    <row r="295" ht="24.75" customHeight="1" x14ac:dyDescent="0.2"/>
    <row r="296" ht="15" customHeight="1" x14ac:dyDescent="0.2"/>
    <row r="297" ht="14.25" customHeight="1" x14ac:dyDescent="0.2"/>
    <row r="298" ht="12.75" customHeight="1" x14ac:dyDescent="0.2"/>
    <row r="299" ht="12" customHeight="1" x14ac:dyDescent="0.2"/>
    <row r="300" ht="12" customHeight="1" x14ac:dyDescent="0.2"/>
    <row r="301" ht="12.75" customHeight="1" x14ac:dyDescent="0.2"/>
    <row r="302" ht="15.75" customHeight="1" x14ac:dyDescent="0.2"/>
    <row r="303" ht="14.25" customHeight="1" x14ac:dyDescent="0.2"/>
    <row r="304" ht="12" customHeight="1" x14ac:dyDescent="0.2"/>
    <row r="305" ht="14.25" customHeight="1" x14ac:dyDescent="0.2"/>
    <row r="306" ht="12.75" customHeight="1" x14ac:dyDescent="0.2"/>
    <row r="307" ht="12" customHeight="1" x14ac:dyDescent="0.2"/>
    <row r="308" ht="12" customHeight="1" x14ac:dyDescent="0.2"/>
    <row r="309" ht="12" customHeight="1" x14ac:dyDescent="0.2"/>
    <row r="310" ht="12" customHeight="1" x14ac:dyDescent="0.2"/>
    <row r="311" ht="15" customHeight="1" x14ac:dyDescent="0.2"/>
    <row r="312" ht="12" customHeight="1" x14ac:dyDescent="0.2"/>
    <row r="313" ht="12" customHeight="1" x14ac:dyDescent="0.2"/>
    <row r="314" ht="12" customHeight="1" x14ac:dyDescent="0.2"/>
    <row r="315" ht="12" customHeight="1" x14ac:dyDescent="0.2"/>
    <row r="316" ht="12.75" customHeight="1" x14ac:dyDescent="0.2"/>
    <row r="317" ht="15" customHeight="1" x14ac:dyDescent="0.2"/>
    <row r="318" ht="17.25" customHeight="1" x14ac:dyDescent="0.2"/>
    <row r="319" ht="17.25" customHeight="1" x14ac:dyDescent="0.2"/>
    <row r="320" ht="17.25" customHeight="1" x14ac:dyDescent="0.2"/>
    <row r="321" ht="23.25" customHeight="1" x14ac:dyDescent="0.2"/>
    <row r="322" ht="12.75" customHeight="1" x14ac:dyDescent="0.2"/>
    <row r="323" ht="24.75" customHeight="1" x14ac:dyDescent="0.2"/>
    <row r="324" ht="15" customHeight="1" x14ac:dyDescent="0.2"/>
    <row r="325" ht="14.25" customHeight="1" x14ac:dyDescent="0.2"/>
    <row r="326" ht="12.75" customHeight="1" x14ac:dyDescent="0.2"/>
    <row r="327" ht="12" customHeight="1" x14ac:dyDescent="0.2"/>
    <row r="328" ht="12" customHeight="1" x14ac:dyDescent="0.2"/>
    <row r="329" ht="12.75" customHeight="1" x14ac:dyDescent="0.2"/>
    <row r="330" ht="15.75" customHeight="1" x14ac:dyDescent="0.2"/>
    <row r="331" ht="14.25" customHeight="1" x14ac:dyDescent="0.2"/>
    <row r="332" ht="12" customHeight="1" x14ac:dyDescent="0.2"/>
    <row r="333" ht="14.25" customHeight="1" x14ac:dyDescent="0.2"/>
    <row r="334" ht="12.75" customHeight="1" x14ac:dyDescent="0.2"/>
    <row r="335" ht="12" customHeight="1" x14ac:dyDescent="0.2"/>
    <row r="336" ht="12" customHeight="1" x14ac:dyDescent="0.2"/>
    <row r="337" ht="12" customHeight="1" x14ac:dyDescent="0.2"/>
    <row r="338" ht="12" customHeight="1" x14ac:dyDescent="0.2"/>
    <row r="339" ht="15" customHeight="1" x14ac:dyDescent="0.2"/>
    <row r="340" ht="12" customHeight="1" x14ac:dyDescent="0.2"/>
    <row r="341" ht="12" customHeight="1" x14ac:dyDescent="0.2"/>
    <row r="342" ht="12" customHeight="1" x14ac:dyDescent="0.2"/>
    <row r="343" ht="12" customHeight="1" x14ac:dyDescent="0.2"/>
    <row r="344" ht="12.75" customHeight="1" x14ac:dyDescent="0.2"/>
    <row r="345" ht="15" customHeight="1" x14ac:dyDescent="0.2"/>
    <row r="346" ht="17.25" customHeight="1" x14ac:dyDescent="0.2"/>
    <row r="347" ht="17.25" customHeight="1" x14ac:dyDescent="0.2"/>
    <row r="348" ht="17.25" customHeight="1" x14ac:dyDescent="0.2"/>
    <row r="349" ht="23.25" customHeight="1" x14ac:dyDescent="0.2"/>
    <row r="350" ht="12.75" customHeight="1" x14ac:dyDescent="0.2"/>
    <row r="351" ht="24.75" customHeight="1" x14ac:dyDescent="0.2"/>
    <row r="352" ht="15" customHeight="1" x14ac:dyDescent="0.2"/>
    <row r="353" ht="14.25" customHeight="1" x14ac:dyDescent="0.2"/>
    <row r="354" ht="12.75" customHeight="1" x14ac:dyDescent="0.2"/>
    <row r="355" ht="12" customHeight="1" x14ac:dyDescent="0.2"/>
    <row r="356" ht="12" customHeight="1" x14ac:dyDescent="0.2"/>
    <row r="357" ht="12.75" customHeight="1" x14ac:dyDescent="0.2"/>
    <row r="358" ht="15.75" customHeight="1" x14ac:dyDescent="0.2"/>
    <row r="359" ht="14.25" customHeight="1" x14ac:dyDescent="0.2"/>
    <row r="360" ht="12" customHeight="1" x14ac:dyDescent="0.2"/>
    <row r="361" ht="14.25" customHeight="1" x14ac:dyDescent="0.2"/>
    <row r="362" ht="12.75" customHeight="1" x14ac:dyDescent="0.2"/>
    <row r="363" ht="12" customHeight="1" x14ac:dyDescent="0.2"/>
    <row r="364" ht="12" customHeight="1" x14ac:dyDescent="0.2"/>
    <row r="365" ht="12" customHeight="1" x14ac:dyDescent="0.2"/>
    <row r="366" ht="12" customHeight="1" x14ac:dyDescent="0.2"/>
    <row r="367" ht="15" customHeight="1" x14ac:dyDescent="0.2"/>
    <row r="368" ht="12" customHeight="1" x14ac:dyDescent="0.2"/>
    <row r="369" ht="12" customHeight="1" x14ac:dyDescent="0.2"/>
    <row r="370" ht="12" customHeight="1" x14ac:dyDescent="0.2"/>
    <row r="371" ht="12" customHeight="1" x14ac:dyDescent="0.2"/>
    <row r="372" ht="12.75" customHeight="1" x14ac:dyDescent="0.2"/>
    <row r="373" ht="15" customHeight="1" x14ac:dyDescent="0.2"/>
    <row r="374" ht="15" customHeight="1" x14ac:dyDescent="0.2"/>
    <row r="375" ht="17.25" customHeight="1" x14ac:dyDescent="0.2"/>
    <row r="376" ht="17.25" customHeight="1" x14ac:dyDescent="0.2"/>
    <row r="377" ht="23.25" customHeight="1" x14ac:dyDescent="0.2"/>
    <row r="378" ht="12.75" customHeight="1" x14ac:dyDescent="0.2"/>
    <row r="379" ht="24.75" customHeight="1" x14ac:dyDescent="0.2"/>
    <row r="380" ht="15" customHeight="1" x14ac:dyDescent="0.2"/>
    <row r="381" ht="14.25" customHeight="1" x14ac:dyDescent="0.2"/>
    <row r="382" ht="12.75" customHeight="1" x14ac:dyDescent="0.2"/>
    <row r="383" ht="12" customHeight="1" x14ac:dyDescent="0.2"/>
    <row r="384" ht="12" customHeight="1" x14ac:dyDescent="0.2"/>
    <row r="385" ht="12.75" customHeight="1" x14ac:dyDescent="0.2"/>
    <row r="386" ht="15.75" customHeight="1" x14ac:dyDescent="0.2"/>
    <row r="387" ht="14.25" customHeight="1" x14ac:dyDescent="0.2"/>
    <row r="388" ht="12" customHeight="1" x14ac:dyDescent="0.2"/>
    <row r="389" ht="14.25" customHeight="1" x14ac:dyDescent="0.2"/>
    <row r="390" ht="12.75" customHeight="1" x14ac:dyDescent="0.2"/>
    <row r="391" ht="12" customHeight="1" x14ac:dyDescent="0.2"/>
    <row r="392" ht="12" customHeight="1" x14ac:dyDescent="0.2"/>
    <row r="393" ht="12" customHeight="1" x14ac:dyDescent="0.2"/>
    <row r="394" ht="12" customHeight="1" x14ac:dyDescent="0.2"/>
    <row r="395" ht="15" customHeight="1" x14ac:dyDescent="0.2"/>
    <row r="396" ht="12" customHeight="1" x14ac:dyDescent="0.2"/>
    <row r="397" ht="12" customHeight="1" x14ac:dyDescent="0.2"/>
    <row r="398" ht="12" customHeight="1" x14ac:dyDescent="0.2"/>
    <row r="399" ht="12" customHeight="1" x14ac:dyDescent="0.2"/>
    <row r="400" ht="12.75" customHeight="1" x14ac:dyDescent="0.2"/>
    <row r="401" ht="15" customHeight="1" x14ac:dyDescent="0.2"/>
    <row r="402" ht="17.25" customHeight="1" x14ac:dyDescent="0.2"/>
    <row r="403" ht="17.25" customHeight="1" x14ac:dyDescent="0.2"/>
    <row r="404" ht="17.25" customHeight="1" x14ac:dyDescent="0.2"/>
    <row r="405" ht="23.25" customHeight="1" x14ac:dyDescent="0.2"/>
    <row r="406" ht="12.75" customHeight="1" x14ac:dyDescent="0.2"/>
    <row r="407" ht="24.75" customHeight="1" x14ac:dyDescent="0.2"/>
    <row r="408" ht="15" customHeight="1" x14ac:dyDescent="0.2"/>
    <row r="409" ht="14.25" customHeight="1" x14ac:dyDescent="0.2"/>
    <row r="410" ht="12.75" customHeight="1" x14ac:dyDescent="0.2"/>
    <row r="411" ht="12" customHeight="1" x14ac:dyDescent="0.2"/>
    <row r="412" ht="12" customHeight="1" x14ac:dyDescent="0.2"/>
    <row r="413" ht="12.75" customHeight="1" x14ac:dyDescent="0.2"/>
    <row r="414" ht="15.75" customHeight="1" x14ac:dyDescent="0.2"/>
    <row r="415" ht="14.25" customHeight="1" x14ac:dyDescent="0.2"/>
    <row r="416" ht="12" customHeight="1" x14ac:dyDescent="0.2"/>
    <row r="417" ht="14.25" customHeight="1" x14ac:dyDescent="0.2"/>
    <row r="418" ht="12.75" customHeight="1" x14ac:dyDescent="0.2"/>
    <row r="419" ht="12" customHeight="1" x14ac:dyDescent="0.2"/>
    <row r="420" ht="12" customHeight="1" x14ac:dyDescent="0.2"/>
    <row r="421" ht="12" customHeight="1" x14ac:dyDescent="0.2"/>
    <row r="422" ht="12" customHeight="1" x14ac:dyDescent="0.2"/>
    <row r="423" ht="15" customHeight="1" x14ac:dyDescent="0.2"/>
    <row r="424" ht="12" customHeight="1" x14ac:dyDescent="0.2"/>
    <row r="425" ht="12" customHeight="1" x14ac:dyDescent="0.2"/>
    <row r="426" ht="12" customHeight="1" x14ac:dyDescent="0.2"/>
    <row r="427" ht="12" customHeight="1" x14ac:dyDescent="0.2"/>
    <row r="428" ht="12.75" customHeight="1" x14ac:dyDescent="0.2"/>
    <row r="429" ht="15" customHeight="1" x14ac:dyDescent="0.2"/>
    <row r="430" ht="17.25" customHeight="1" x14ac:dyDescent="0.2"/>
    <row r="431" ht="17.25" customHeight="1" x14ac:dyDescent="0.2"/>
    <row r="432" ht="17.25" customHeight="1" x14ac:dyDescent="0.2"/>
    <row r="433" ht="23.25" customHeight="1" x14ac:dyDescent="0.2"/>
    <row r="434" ht="12.75" customHeight="1" x14ac:dyDescent="0.2"/>
    <row r="435" ht="24.75" customHeight="1" x14ac:dyDescent="0.2"/>
    <row r="436" ht="15" customHeight="1" x14ac:dyDescent="0.2"/>
    <row r="437" ht="14.25" customHeight="1" x14ac:dyDescent="0.2"/>
    <row r="438" ht="12.75" customHeight="1" x14ac:dyDescent="0.2"/>
    <row r="439" ht="12" customHeight="1" x14ac:dyDescent="0.2"/>
    <row r="440" ht="12" customHeight="1" x14ac:dyDescent="0.2"/>
    <row r="441" ht="12.75" customHeight="1" x14ac:dyDescent="0.2"/>
    <row r="442" ht="15.75" customHeight="1" x14ac:dyDescent="0.2"/>
    <row r="443" ht="14.25" customHeight="1" x14ac:dyDescent="0.2"/>
    <row r="444" ht="12" customHeight="1" x14ac:dyDescent="0.2"/>
    <row r="445" ht="14.25" customHeight="1" x14ac:dyDescent="0.2"/>
    <row r="446" ht="12.75" customHeight="1" x14ac:dyDescent="0.2"/>
    <row r="447" ht="12" customHeight="1" x14ac:dyDescent="0.2"/>
    <row r="448" ht="12" customHeight="1" x14ac:dyDescent="0.2"/>
    <row r="449" ht="12" customHeight="1" x14ac:dyDescent="0.2"/>
    <row r="450" ht="12" customHeight="1" x14ac:dyDescent="0.2"/>
    <row r="451" ht="15" customHeight="1" x14ac:dyDescent="0.2"/>
    <row r="452" ht="12" customHeight="1" x14ac:dyDescent="0.2"/>
    <row r="453" ht="12" customHeight="1" x14ac:dyDescent="0.2"/>
    <row r="454" ht="12" customHeight="1" x14ac:dyDescent="0.2"/>
    <row r="455" ht="12" customHeight="1" x14ac:dyDescent="0.2"/>
    <row r="456" ht="12.75" customHeight="1" x14ac:dyDescent="0.2"/>
    <row r="457" ht="15" customHeight="1" x14ac:dyDescent="0.2"/>
    <row r="458" ht="21" customHeight="1" x14ac:dyDescent="0.2"/>
    <row r="459" ht="21" customHeight="1" x14ac:dyDescent="0.2"/>
    <row r="460" ht="21" customHeight="1" x14ac:dyDescent="0.2"/>
    <row r="461" ht="21" customHeight="1" x14ac:dyDescent="0.2"/>
    <row r="462" ht="21" customHeight="1" x14ac:dyDescent="0.2"/>
    <row r="463" ht="21" customHeight="1" x14ac:dyDescent="0.2"/>
    <row r="464" ht="21" customHeight="1" x14ac:dyDescent="0.2"/>
    <row r="465" ht="21" customHeight="1" x14ac:dyDescent="0.2"/>
    <row r="466" ht="21" customHeight="1" x14ac:dyDescent="0.2"/>
    <row r="467" ht="21" customHeight="1" x14ac:dyDescent="0.2"/>
    <row r="468" ht="21" customHeight="1" x14ac:dyDescent="0.2"/>
    <row r="469" ht="21" customHeight="1" x14ac:dyDescent="0.2"/>
    <row r="470" ht="21" customHeight="1" x14ac:dyDescent="0.2"/>
    <row r="471" ht="21" customHeight="1" x14ac:dyDescent="0.2"/>
    <row r="472" ht="21" customHeight="1" x14ac:dyDescent="0.2"/>
    <row r="473" ht="21" customHeight="1" x14ac:dyDescent="0.2"/>
    <row r="474" ht="21" customHeight="1" x14ac:dyDescent="0.2"/>
    <row r="475" ht="21" customHeight="1" x14ac:dyDescent="0.2"/>
    <row r="476" ht="21" customHeight="1" x14ac:dyDescent="0.2"/>
    <row r="477" ht="21" customHeight="1" x14ac:dyDescent="0.2"/>
    <row r="478" ht="21" customHeight="1" x14ac:dyDescent="0.2"/>
    <row r="479" ht="21" customHeight="1" x14ac:dyDescent="0.2"/>
    <row r="480" ht="21" customHeight="1" x14ac:dyDescent="0.2"/>
    <row r="481" ht="21" customHeight="1" x14ac:dyDescent="0.2"/>
    <row r="482" ht="21" customHeight="1" x14ac:dyDescent="0.2"/>
    <row r="483" ht="21" customHeight="1" x14ac:dyDescent="0.2"/>
    <row r="484" ht="21" customHeight="1" x14ac:dyDescent="0.2"/>
    <row r="485" ht="21" customHeight="1" x14ac:dyDescent="0.2"/>
    <row r="486" ht="21" customHeight="1" x14ac:dyDescent="0.2"/>
    <row r="487" ht="21" customHeight="1" x14ac:dyDescent="0.2"/>
    <row r="488" ht="21" customHeight="1" x14ac:dyDescent="0.2"/>
    <row r="489" ht="21" customHeight="1" x14ac:dyDescent="0.2"/>
    <row r="490" ht="21" customHeight="1" x14ac:dyDescent="0.2"/>
    <row r="491" ht="21" customHeight="1" x14ac:dyDescent="0.2"/>
    <row r="492" ht="21" customHeight="1" x14ac:dyDescent="0.2"/>
    <row r="493" ht="21" customHeight="1" x14ac:dyDescent="0.2"/>
    <row r="494" ht="21" customHeight="1" x14ac:dyDescent="0.2"/>
    <row r="495" ht="21" customHeight="1" x14ac:dyDescent="0.2"/>
    <row r="496" ht="21" customHeight="1" x14ac:dyDescent="0.2"/>
    <row r="497" ht="21" customHeight="1" x14ac:dyDescent="0.2"/>
    <row r="498" ht="21" customHeight="1" x14ac:dyDescent="0.2"/>
    <row r="499" ht="21" customHeight="1" x14ac:dyDescent="0.2"/>
    <row r="500" ht="21" customHeight="1" x14ac:dyDescent="0.2"/>
    <row r="501" ht="21" customHeight="1" x14ac:dyDescent="0.2"/>
    <row r="502" ht="21" customHeight="1" x14ac:dyDescent="0.2"/>
    <row r="503" ht="21" customHeight="1" x14ac:dyDescent="0.2"/>
    <row r="504" ht="21" customHeight="1" x14ac:dyDescent="0.2"/>
    <row r="505" ht="21" customHeight="1" x14ac:dyDescent="0.2"/>
    <row r="506" ht="21" customHeight="1" x14ac:dyDescent="0.2"/>
    <row r="507" ht="21" customHeight="1" x14ac:dyDescent="0.2"/>
    <row r="508" ht="21" customHeight="1" x14ac:dyDescent="0.2"/>
    <row r="509" ht="21" customHeight="1" x14ac:dyDescent="0.2"/>
    <row r="510" ht="21" customHeight="1" x14ac:dyDescent="0.2"/>
    <row r="511" ht="21" customHeight="1" x14ac:dyDescent="0.2"/>
    <row r="512" ht="21" customHeight="1" x14ac:dyDescent="0.2"/>
    <row r="513" ht="21" customHeight="1" x14ac:dyDescent="0.2"/>
    <row r="514" ht="21" customHeight="1" x14ac:dyDescent="0.2"/>
    <row r="526" ht="26.25" customHeight="1" x14ac:dyDescent="0.2"/>
    <row r="2614" ht="17.25" customHeight="1" x14ac:dyDescent="0.2"/>
    <row r="2615" ht="17.25" customHeight="1" x14ac:dyDescent="0.2"/>
    <row r="2616" ht="17.25" customHeight="1" x14ac:dyDescent="0.2"/>
    <row r="2617" ht="23.25" customHeight="1" x14ac:dyDescent="0.2"/>
    <row r="2618" ht="12.75" customHeight="1" x14ac:dyDescent="0.2"/>
    <row r="2619" ht="24.75" customHeight="1" x14ac:dyDescent="0.2"/>
    <row r="2620" ht="15" customHeight="1" x14ac:dyDescent="0.2"/>
    <row r="2621" ht="14.25" customHeight="1" x14ac:dyDescent="0.2"/>
    <row r="2622" ht="12.75" customHeight="1" x14ac:dyDescent="0.2"/>
    <row r="2623" ht="12" customHeight="1" x14ac:dyDescent="0.2"/>
    <row r="2624" ht="12" customHeight="1" x14ac:dyDescent="0.2"/>
    <row r="2625" ht="12.75" customHeight="1" x14ac:dyDescent="0.2"/>
    <row r="2626" ht="15.75" customHeight="1" x14ac:dyDescent="0.2"/>
    <row r="2627" ht="14.25" customHeight="1" x14ac:dyDescent="0.2"/>
    <row r="2628" ht="12" customHeight="1" x14ac:dyDescent="0.2"/>
    <row r="2629" ht="14.25" customHeight="1" x14ac:dyDescent="0.2"/>
    <row r="2630" ht="12.75" customHeight="1" x14ac:dyDescent="0.2"/>
    <row r="2631" ht="12" customHeight="1" x14ac:dyDescent="0.2"/>
    <row r="2632" ht="12" customHeight="1" x14ac:dyDescent="0.2"/>
    <row r="2633" ht="12" customHeight="1" x14ac:dyDescent="0.2"/>
    <row r="2634" ht="12" customHeight="1" x14ac:dyDescent="0.2"/>
    <row r="2635" ht="15" customHeight="1" x14ac:dyDescent="0.2"/>
    <row r="2636" ht="12" customHeight="1" x14ac:dyDescent="0.2"/>
    <row r="2637" ht="12" customHeight="1" x14ac:dyDescent="0.2"/>
    <row r="2638" ht="12" customHeight="1" x14ac:dyDescent="0.2"/>
    <row r="2639" ht="12" customHeight="1" x14ac:dyDescent="0.2"/>
    <row r="2640" ht="12.75" customHeight="1" x14ac:dyDescent="0.2"/>
    <row r="2641" ht="15" customHeight="1" x14ac:dyDescent="0.2"/>
    <row r="2642" ht="17.25" customHeight="1" x14ac:dyDescent="0.2"/>
    <row r="2643" ht="17.25" customHeight="1" x14ac:dyDescent="0.2"/>
    <row r="2644" ht="17.25" customHeight="1" x14ac:dyDescent="0.2"/>
    <row r="2645" ht="23.25" customHeight="1" x14ac:dyDescent="0.2"/>
    <row r="2646" ht="12.75" customHeight="1" x14ac:dyDescent="0.2"/>
    <row r="2647" ht="24.75" customHeight="1" x14ac:dyDescent="0.2"/>
    <row r="2648" ht="15" customHeight="1" x14ac:dyDescent="0.2"/>
    <row r="2649" ht="14.25" customHeight="1" x14ac:dyDescent="0.2"/>
    <row r="2650" ht="12.75" customHeight="1" x14ac:dyDescent="0.2"/>
    <row r="2651" ht="12" customHeight="1" x14ac:dyDescent="0.2"/>
    <row r="2652" ht="12" customHeight="1" x14ac:dyDescent="0.2"/>
    <row r="2653" ht="12.75" customHeight="1" x14ac:dyDescent="0.2"/>
    <row r="2654" ht="15.75" customHeight="1" x14ac:dyDescent="0.2"/>
    <row r="2655" ht="14.25" customHeight="1" x14ac:dyDescent="0.2"/>
    <row r="2656" ht="12" customHeight="1" x14ac:dyDescent="0.2"/>
    <row r="2657" ht="14.25" customHeight="1" x14ac:dyDescent="0.2"/>
    <row r="2658" ht="12.75" customHeight="1" x14ac:dyDescent="0.2"/>
    <row r="2659" ht="12" customHeight="1" x14ac:dyDescent="0.2"/>
    <row r="2660" ht="12" customHeight="1" x14ac:dyDescent="0.2"/>
    <row r="2661" ht="12" customHeight="1" x14ac:dyDescent="0.2"/>
    <row r="2662" ht="12" customHeight="1" x14ac:dyDescent="0.2"/>
    <row r="2663" ht="15" customHeight="1" x14ac:dyDescent="0.2"/>
    <row r="2664" ht="12" customHeight="1" x14ac:dyDescent="0.2"/>
    <row r="2665" ht="12" customHeight="1" x14ac:dyDescent="0.2"/>
    <row r="2666" ht="12" customHeight="1" x14ac:dyDescent="0.2"/>
    <row r="2667" ht="12" customHeight="1" x14ac:dyDescent="0.2"/>
    <row r="2668" ht="12.75" customHeight="1" x14ac:dyDescent="0.2"/>
    <row r="2669" ht="15" customHeight="1" x14ac:dyDescent="0.2"/>
  </sheetData>
  <sheetProtection selectLockedCells="1"/>
  <mergeCells count="21">
    <mergeCell ref="D29:E37"/>
    <mergeCell ref="G14:H14"/>
    <mergeCell ref="G21:H21"/>
    <mergeCell ref="G32:H32"/>
    <mergeCell ref="G35:H35"/>
    <mergeCell ref="K3:L3"/>
    <mergeCell ref="B10:F10"/>
    <mergeCell ref="G11:H11"/>
    <mergeCell ref="K2:M2"/>
    <mergeCell ref="D11:E11"/>
    <mergeCell ref="M3:N3"/>
    <mergeCell ref="B23:E23"/>
    <mergeCell ref="K10:M10"/>
    <mergeCell ref="K22:M22"/>
    <mergeCell ref="K27:M27"/>
    <mergeCell ref="K15:M15"/>
    <mergeCell ref="A12:B12"/>
    <mergeCell ref="D12:E12"/>
    <mergeCell ref="B22:E22"/>
    <mergeCell ref="B25:C25"/>
    <mergeCell ref="B26:C26"/>
  </mergeCells>
  <dataValidations count="19">
    <dataValidation type="list" allowBlank="1" showInputMessage="1" showErrorMessage="1" sqref="D4 F4 B17 E17 B4" xr:uid="{35CDA0D1-6B84-42FD-9F00-26FAA514011A}">
      <formula1>Cards_List</formula1>
    </dataValidation>
    <dataValidation type="list" allowBlank="1" showInputMessage="1" showErrorMessage="1" sqref="B16 E16" xr:uid="{CD7C84ED-1ED9-4E5C-8513-DC0C6979D422}">
      <formula1>CardTypes_List</formula1>
    </dataValidation>
    <dataValidation type="list" allowBlank="1" showInputMessage="1" showErrorMessage="1" sqref="B18 E18" xr:uid="{6ADDC395-11B6-4E61-AD5C-DD3524757796}">
      <formula1>Devices_List</formula1>
    </dataValidation>
    <dataValidation type="list" allowBlank="1" showInputMessage="1" showErrorMessage="1" sqref="B13 E13" xr:uid="{02BB019A-03B2-4DB0-A5FA-9AE1810A25EB}">
      <formula1>ConditionSources_List</formula1>
    </dataValidation>
    <dataValidation type="list" allowBlank="1" showInputMessage="1" showErrorMessage="1" sqref="B14 E14" xr:uid="{A6A9B2B7-3798-4A1C-A9C7-EB5EDAC2327E}">
      <formula1>ConditionTriggers_List</formula1>
    </dataValidation>
    <dataValidation type="list" allowBlank="1" showInputMessage="1" showErrorMessage="1" sqref="L17 B15 E15" xr:uid="{EAB04A73-576C-4624-B3E8-3086B7E50FE1}">
      <formula1>TrackSpeeds_List</formula1>
    </dataValidation>
    <dataValidation type="list" allowBlank="1" showInputMessage="1" showErrorMessage="1" sqref="L16" xr:uid="{ECB99872-2A10-4FD7-88C1-BCA637B9A697}">
      <formula1>RulesName_List</formula1>
    </dataValidation>
    <dataValidation type="list" allowBlank="1" showInputMessage="1" showErrorMessage="1" sqref="L23 L28" xr:uid="{78B22EB5-99C9-4457-B70E-740396927AD1}">
      <formula1>LampSelection_List</formula1>
    </dataValidation>
    <dataValidation type="list" allowBlank="1" showInputMessage="1" showErrorMessage="1" sqref="L18 L23 L28" xr:uid="{8C126655-28C5-4DC0-8D19-FE6FA7136CE2}">
      <formula1>AspectIndicators_List</formula1>
    </dataValidation>
    <dataValidation type="list" allowBlank="1" showInputMessage="1" showErrorMessage="1" sqref="L8" xr:uid="{166658D5-3C18-4149-BA2B-F9D1BBC54966}">
      <formula1>CardBus_List</formula1>
    </dataValidation>
    <dataValidation type="list" allowBlank="1" showInputMessage="1" showErrorMessage="1" sqref="L9" xr:uid="{F56C7144-7D5C-4460-8985-B2E04979D0BC}">
      <formula1>CardAddress_List</formula1>
    </dataValidation>
    <dataValidation type="list" allowBlank="1" showInputMessage="1" showErrorMessage="1" sqref="B11" xr:uid="{47B693C0-DD13-4F3E-82B7-6E06B5CE003F}">
      <formula1>GroupFunctions_List</formula1>
    </dataValidation>
    <dataValidation type="list" allowBlank="1" showInputMessage="1" showErrorMessage="1" sqref="C13" xr:uid="{1597B228-67BB-433A-BBF5-7EC2F58095E1}">
      <formula1>LogicOperations_List</formula1>
    </dataValidation>
    <dataValidation type="list" allowBlank="1" showInputMessage="1" showErrorMessage="1" sqref="B25:B26" xr:uid="{A1102F63-CA1E-4AA6-A326-98663C7855D2}">
      <formula1>GroupProcessing_List</formula1>
    </dataValidation>
    <dataValidation type="list" allowBlank="1" showInputMessage="1" showErrorMessage="1" sqref="E27 E25" xr:uid="{3088E116-BA3F-4362-9CBD-6F4D50A89194}">
      <formula1>ActionTriggers_List</formula1>
    </dataValidation>
    <dataValidation type="list" allowBlank="1" showInputMessage="1" showErrorMessage="1" sqref="L11" xr:uid="{A902A7F2-C516-479F-8CFA-1FCAEDF434D0}">
      <formula1>MastOperational_List</formula1>
    </dataValidation>
    <dataValidation type="list" allowBlank="1" showInputMessage="1" showErrorMessage="1" sqref="L14" xr:uid="{7C539556-405D-4007-BF8E-C5467C64E8C1}">
      <formula1>Fade_List</formula1>
    </dataValidation>
    <dataValidation type="list" allowBlank="1" showInputMessage="1" showErrorMessage="1" sqref="L24 L29" xr:uid="{0D63AD8A-2B70-4A0F-8C1B-E62A9EDF61CB}">
      <formula1>Phase_List</formula1>
    </dataValidation>
    <dataValidation type="list" allowBlank="1" showInputMessage="1" showErrorMessage="1" sqref="E26 E28" xr:uid="{FBE9AE7D-DE8F-4CC4-9D00-FDEC83BAE32C}">
      <formula1>$L$19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3" name="Button 5">
              <controlPr defaultSize="0" print="0" autoFill="0" autoPict="0" macro="[0]!Delete">
                <anchor moveWithCells="1" sizeWithCells="1">
                  <from>
                    <xdr:col>1</xdr:col>
                    <xdr:colOff>219075</xdr:colOff>
                    <xdr:row>4</xdr:row>
                    <xdr:rowOff>133350</xdr:rowOff>
                  </from>
                  <to>
                    <xdr:col>2</xdr:col>
                    <xdr:colOff>342900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Add">
                <anchor moveWithCells="1" sizeWithCells="1">
                  <from>
                    <xdr:col>0</xdr:col>
                    <xdr:colOff>57150</xdr:colOff>
                    <xdr:row>4</xdr:row>
                    <xdr:rowOff>133350</xdr:rowOff>
                  </from>
                  <to>
                    <xdr:col>1</xdr:col>
                    <xdr:colOff>171450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5" name="Button 12">
              <controlPr defaultSize="0" print="0" autoFill="0" autoPict="0" macro="[0]!_xludf.Move">
                <anchor moveWithCells="1" sizeWithCells="1">
                  <from>
                    <xdr:col>1</xdr:col>
                    <xdr:colOff>190500</xdr:colOff>
                    <xdr:row>6</xdr:row>
                    <xdr:rowOff>85725</xdr:rowOff>
                  </from>
                  <to>
                    <xdr:col>2</xdr:col>
                    <xdr:colOff>314325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Button 13">
              <controlPr defaultSize="0" print="0" autoFill="0" autoPict="0" macro="[0]!_xludf.Copy">
                <anchor moveWithCells="1" sizeWithCells="1">
                  <from>
                    <xdr:col>0</xdr:col>
                    <xdr:colOff>57150</xdr:colOff>
                    <xdr:row>6</xdr:row>
                    <xdr:rowOff>85725</xdr:rowOff>
                  </from>
                  <to>
                    <xdr:col>1</xdr:col>
                    <xdr:colOff>171450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7" name="Button 32">
              <controlPr defaultSize="0" print="0" autoFill="0" autoPict="0" macro="[0]!SaveCdiLogic">
                <anchor moveWithCells="1" sizeWithCells="1">
                  <from>
                    <xdr:col>2</xdr:col>
                    <xdr:colOff>771525</xdr:colOff>
                    <xdr:row>4</xdr:row>
                    <xdr:rowOff>133350</xdr:rowOff>
                  </from>
                  <to>
                    <xdr:col>4</xdr:col>
                    <xdr:colOff>276225</xdr:colOff>
                    <xdr:row>6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158BA9-7268-4330-AEB5-D02B45AC249F}">
  <sheetPr codeName="Sheet2"/>
  <dimension ref="A1:I44"/>
  <sheetViews>
    <sheetView workbookViewId="0">
      <selection activeCell="A2" sqref="A2:A9"/>
    </sheetView>
  </sheetViews>
  <sheetFormatPr defaultRowHeight="11.25" x14ac:dyDescent="0.2"/>
  <cols>
    <col min="1" max="1" width="33.5" style="32" customWidth="1"/>
    <col min="2" max="2" width="2.875" style="32" customWidth="1"/>
    <col min="3" max="3" width="13.5" style="32" customWidth="1"/>
    <col min="4" max="4" width="2.125" style="32" customWidth="1"/>
    <col min="5" max="5" width="28.25" style="32" customWidth="1"/>
    <col min="6" max="6" width="3.625" style="34" customWidth="1"/>
    <col min="7" max="7" width="28.625" style="32" customWidth="1"/>
    <col min="8" max="8" width="3.5" style="32" customWidth="1"/>
    <col min="9" max="9" width="11.75" style="34" customWidth="1"/>
    <col min="10" max="10" width="2.875" style="32" customWidth="1"/>
    <col min="11" max="11" width="9" style="32"/>
    <col min="12" max="12" width="17.625" style="32" customWidth="1"/>
    <col min="13" max="16384" width="9" style="32"/>
  </cols>
  <sheetData>
    <row r="1" spans="1:9" x14ac:dyDescent="0.2">
      <c r="A1" s="32" t="s">
        <v>8</v>
      </c>
      <c r="C1" s="32" t="s">
        <v>9</v>
      </c>
      <c r="E1" s="32" t="s">
        <v>81</v>
      </c>
      <c r="F1" s="32"/>
      <c r="G1" s="32" t="s">
        <v>132</v>
      </c>
      <c r="I1" s="32" t="s">
        <v>98</v>
      </c>
    </row>
    <row r="2" spans="1:9" x14ac:dyDescent="0.2">
      <c r="A2" s="32" t="s">
        <v>0</v>
      </c>
      <c r="C2" s="32" t="s">
        <v>10</v>
      </c>
      <c r="E2" s="32" t="s">
        <v>79</v>
      </c>
      <c r="F2" s="32"/>
      <c r="G2" s="32" t="s">
        <v>133</v>
      </c>
      <c r="I2" s="32" t="s">
        <v>141</v>
      </c>
    </row>
    <row r="3" spans="1:9" x14ac:dyDescent="0.2">
      <c r="A3" s="32" t="s">
        <v>7</v>
      </c>
      <c r="C3" s="32" t="s">
        <v>11</v>
      </c>
      <c r="E3" s="32" t="s">
        <v>71</v>
      </c>
      <c r="F3" s="32"/>
      <c r="G3" s="32" t="s">
        <v>134</v>
      </c>
      <c r="I3" s="32" t="s">
        <v>142</v>
      </c>
    </row>
    <row r="4" spans="1:9" x14ac:dyDescent="0.2">
      <c r="A4" s="32" t="s">
        <v>1</v>
      </c>
      <c r="C4" s="32" t="s">
        <v>12</v>
      </c>
      <c r="E4" s="32" t="s">
        <v>72</v>
      </c>
      <c r="F4" s="32"/>
      <c r="G4" s="32" t="s">
        <v>135</v>
      </c>
      <c r="I4" s="32" t="s">
        <v>143</v>
      </c>
    </row>
    <row r="5" spans="1:9" x14ac:dyDescent="0.2">
      <c r="A5" s="32" t="s">
        <v>2</v>
      </c>
      <c r="C5" s="32" t="s">
        <v>13</v>
      </c>
      <c r="E5" s="32" t="s">
        <v>73</v>
      </c>
      <c r="F5" s="32"/>
      <c r="G5" s="32" t="s">
        <v>136</v>
      </c>
      <c r="I5" s="32" t="s">
        <v>144</v>
      </c>
    </row>
    <row r="6" spans="1:9" x14ac:dyDescent="0.2">
      <c r="A6" s="32" t="s">
        <v>3</v>
      </c>
      <c r="C6" s="32" t="s">
        <v>14</v>
      </c>
      <c r="E6" s="32" t="s">
        <v>74</v>
      </c>
      <c r="F6" s="32"/>
      <c r="G6" s="32" t="s">
        <v>137</v>
      </c>
      <c r="I6" s="32" t="s">
        <v>145</v>
      </c>
    </row>
    <row r="7" spans="1:9" x14ac:dyDescent="0.2">
      <c r="A7" s="32" t="s">
        <v>4</v>
      </c>
      <c r="C7" s="32" t="s">
        <v>15</v>
      </c>
      <c r="E7" s="32" t="s">
        <v>75</v>
      </c>
      <c r="F7" s="32"/>
      <c r="G7" s="32" t="s">
        <v>138</v>
      </c>
      <c r="I7" s="32" t="s">
        <v>146</v>
      </c>
    </row>
    <row r="8" spans="1:9" x14ac:dyDescent="0.2">
      <c r="A8" s="32" t="s">
        <v>5</v>
      </c>
      <c r="C8" s="32" t="s">
        <v>16</v>
      </c>
      <c r="E8" s="32" t="s">
        <v>76</v>
      </c>
      <c r="F8" s="32"/>
      <c r="G8" s="32" t="s">
        <v>139</v>
      </c>
      <c r="I8" s="32" t="s">
        <v>147</v>
      </c>
    </row>
    <row r="9" spans="1:9" x14ac:dyDescent="0.2">
      <c r="A9" s="32" t="s">
        <v>6</v>
      </c>
      <c r="E9" s="32" t="s">
        <v>77</v>
      </c>
      <c r="F9" s="32"/>
      <c r="G9" s="32" t="s">
        <v>140</v>
      </c>
      <c r="I9" s="32" t="s">
        <v>148</v>
      </c>
    </row>
    <row r="10" spans="1:9" x14ac:dyDescent="0.2">
      <c r="E10" s="32" t="s">
        <v>78</v>
      </c>
      <c r="F10" s="32"/>
      <c r="I10" s="32" t="s">
        <v>149</v>
      </c>
    </row>
    <row r="11" spans="1:9" x14ac:dyDescent="0.2">
      <c r="I11" s="32" t="s">
        <v>150</v>
      </c>
    </row>
    <row r="12" spans="1:9" x14ac:dyDescent="0.2">
      <c r="A12" s="32" t="s">
        <v>80</v>
      </c>
      <c r="C12" s="32" t="s">
        <v>27</v>
      </c>
      <c r="E12" s="32" t="s">
        <v>82</v>
      </c>
      <c r="F12" s="32"/>
      <c r="G12" s="32" t="s">
        <v>99</v>
      </c>
      <c r="I12" s="32" t="s">
        <v>151</v>
      </c>
    </row>
    <row r="13" spans="1:9" x14ac:dyDescent="0.2">
      <c r="A13" s="32" t="s">
        <v>64</v>
      </c>
      <c r="C13" s="32" t="s">
        <v>28</v>
      </c>
      <c r="E13" s="32" t="s">
        <v>83</v>
      </c>
      <c r="F13" s="32"/>
      <c r="G13" s="32" t="s">
        <v>100</v>
      </c>
      <c r="I13" s="32" t="s">
        <v>152</v>
      </c>
    </row>
    <row r="14" spans="1:9" x14ac:dyDescent="0.2">
      <c r="A14" s="32" t="s">
        <v>65</v>
      </c>
      <c r="C14" s="32" t="s">
        <v>29</v>
      </c>
      <c r="E14" s="32" t="s">
        <v>84</v>
      </c>
      <c r="F14" s="32"/>
      <c r="G14" s="32" t="s">
        <v>101</v>
      </c>
      <c r="I14" s="32" t="s">
        <v>153</v>
      </c>
    </row>
    <row r="15" spans="1:9" x14ac:dyDescent="0.2">
      <c r="A15" s="32" t="s">
        <v>66</v>
      </c>
      <c r="C15" s="32" t="s">
        <v>30</v>
      </c>
      <c r="E15" s="32" t="s">
        <v>10</v>
      </c>
      <c r="F15" s="32"/>
      <c r="G15" s="32" t="s">
        <v>102</v>
      </c>
      <c r="I15" s="32" t="s">
        <v>154</v>
      </c>
    </row>
    <row r="16" spans="1:9" x14ac:dyDescent="0.2">
      <c r="A16" s="32" t="s">
        <v>67</v>
      </c>
      <c r="C16" s="32" t="s">
        <v>31</v>
      </c>
      <c r="D16" s="34"/>
      <c r="F16" s="32"/>
      <c r="G16" s="32" t="s">
        <v>103</v>
      </c>
      <c r="I16" s="32" t="s">
        <v>155</v>
      </c>
    </row>
    <row r="17" spans="1:9" x14ac:dyDescent="0.2">
      <c r="A17" s="32" t="s">
        <v>68</v>
      </c>
      <c r="C17" s="32" t="s">
        <v>32</v>
      </c>
      <c r="D17" s="34"/>
      <c r="E17" s="32" t="s">
        <v>46</v>
      </c>
      <c r="F17" s="32"/>
      <c r="G17" s="32" t="s">
        <v>104</v>
      </c>
      <c r="I17" s="32" t="s">
        <v>156</v>
      </c>
    </row>
    <row r="18" spans="1:9" x14ac:dyDescent="0.2">
      <c r="A18" s="32" t="s">
        <v>69</v>
      </c>
      <c r="C18" s="32" t="s">
        <v>33</v>
      </c>
      <c r="D18" s="34"/>
      <c r="E18" s="32" t="s">
        <v>47</v>
      </c>
      <c r="F18" s="32"/>
      <c r="G18" s="32" t="s">
        <v>105</v>
      </c>
      <c r="I18" s="32" t="s">
        <v>157</v>
      </c>
    </row>
    <row r="19" spans="1:9" x14ac:dyDescent="0.2">
      <c r="A19" s="32" t="s">
        <v>63</v>
      </c>
      <c r="C19" s="32" t="s">
        <v>34</v>
      </c>
      <c r="D19" s="34"/>
      <c r="E19" s="32" t="s">
        <v>48</v>
      </c>
      <c r="F19" s="32"/>
      <c r="G19" s="32" t="s">
        <v>106</v>
      </c>
      <c r="I19" s="32"/>
    </row>
    <row r="20" spans="1:9" x14ac:dyDescent="0.2">
      <c r="A20" s="32" t="s">
        <v>70</v>
      </c>
      <c r="C20" s="32" t="s">
        <v>35</v>
      </c>
      <c r="D20" s="34"/>
      <c r="E20" s="32" t="s">
        <v>49</v>
      </c>
      <c r="F20" s="32"/>
      <c r="G20" s="32" t="s">
        <v>107</v>
      </c>
      <c r="I20" s="32"/>
    </row>
    <row r="21" spans="1:9" x14ac:dyDescent="0.2">
      <c r="A21" s="32" t="s">
        <v>22</v>
      </c>
      <c r="E21" s="32" t="s">
        <v>50</v>
      </c>
      <c r="F21" s="32"/>
      <c r="G21" s="32" t="s">
        <v>108</v>
      </c>
      <c r="H21" s="34"/>
      <c r="I21" s="32"/>
    </row>
    <row r="22" spans="1:9" x14ac:dyDescent="0.2">
      <c r="C22" s="32" t="s">
        <v>41</v>
      </c>
      <c r="E22" s="32" t="s">
        <v>51</v>
      </c>
      <c r="F22" s="32"/>
      <c r="G22" s="32" t="s">
        <v>109</v>
      </c>
      <c r="H22" s="34"/>
      <c r="I22" s="32"/>
    </row>
    <row r="23" spans="1:9" x14ac:dyDescent="0.2">
      <c r="A23" s="32" t="s">
        <v>17</v>
      </c>
      <c r="C23" s="32" t="s">
        <v>42</v>
      </c>
      <c r="E23" s="32" t="s">
        <v>52</v>
      </c>
      <c r="F23" s="32"/>
      <c r="G23" s="32" t="s">
        <v>110</v>
      </c>
      <c r="H23" s="34"/>
      <c r="I23" s="32"/>
    </row>
    <row r="24" spans="1:9" x14ac:dyDescent="0.2">
      <c r="A24" s="32" t="s">
        <v>18</v>
      </c>
      <c r="C24" s="32" t="s">
        <v>43</v>
      </c>
      <c r="E24" s="32" t="s">
        <v>53</v>
      </c>
      <c r="F24" s="32"/>
      <c r="G24" s="32" t="s">
        <v>111</v>
      </c>
      <c r="H24" s="34"/>
      <c r="I24" s="32"/>
    </row>
    <row r="25" spans="1:9" x14ac:dyDescent="0.2">
      <c r="A25" s="32" t="s">
        <v>19</v>
      </c>
      <c r="C25" s="32" t="s">
        <v>44</v>
      </c>
      <c r="E25" s="32" t="s">
        <v>54</v>
      </c>
      <c r="F25" s="32"/>
      <c r="G25" s="32" t="s">
        <v>112</v>
      </c>
      <c r="H25" s="34"/>
      <c r="I25" s="32"/>
    </row>
    <row r="26" spans="1:9" x14ac:dyDescent="0.2">
      <c r="A26" s="32" t="s">
        <v>20</v>
      </c>
      <c r="F26" s="32"/>
      <c r="G26" s="32" t="s">
        <v>113</v>
      </c>
      <c r="H26" s="34"/>
      <c r="I26" s="32"/>
    </row>
    <row r="27" spans="1:9" x14ac:dyDescent="0.2">
      <c r="A27" s="32" t="s">
        <v>21</v>
      </c>
      <c r="C27" s="32" t="s">
        <v>167</v>
      </c>
      <c r="E27" s="32" t="s">
        <v>205</v>
      </c>
      <c r="F27" s="32"/>
      <c r="G27" s="32" t="s">
        <v>114</v>
      </c>
      <c r="H27" s="34"/>
      <c r="I27" s="32"/>
    </row>
    <row r="28" spans="1:9" x14ac:dyDescent="0.2">
      <c r="C28" s="32" t="s">
        <v>168</v>
      </c>
      <c r="E28" s="32" t="s">
        <v>141</v>
      </c>
      <c r="F28" s="32"/>
      <c r="G28" s="32" t="s">
        <v>115</v>
      </c>
      <c r="H28" s="34"/>
      <c r="I28" s="32"/>
    </row>
    <row r="29" spans="1:9" x14ac:dyDescent="0.2">
      <c r="A29" s="32" t="s">
        <v>23</v>
      </c>
      <c r="C29" s="32" t="s">
        <v>169</v>
      </c>
      <c r="E29" s="32" t="s">
        <v>90</v>
      </c>
      <c r="F29" s="32"/>
      <c r="G29" s="32" t="s">
        <v>116</v>
      </c>
      <c r="H29" s="34"/>
      <c r="I29" s="32"/>
    </row>
    <row r="30" spans="1:9" x14ac:dyDescent="0.2">
      <c r="A30" s="32" t="s">
        <v>24</v>
      </c>
      <c r="E30" s="32" t="s">
        <v>206</v>
      </c>
      <c r="F30" s="32"/>
      <c r="G30" s="32" t="s">
        <v>117</v>
      </c>
      <c r="H30" s="34"/>
      <c r="I30" s="32"/>
    </row>
    <row r="31" spans="1:9" x14ac:dyDescent="0.2">
      <c r="A31" s="32" t="s">
        <v>25</v>
      </c>
      <c r="C31" s="32" t="s">
        <v>170</v>
      </c>
      <c r="G31" s="32" t="s">
        <v>118</v>
      </c>
    </row>
    <row r="32" spans="1:9" x14ac:dyDescent="0.2">
      <c r="A32" s="32" t="s">
        <v>26</v>
      </c>
      <c r="C32" s="32" t="s">
        <v>171</v>
      </c>
      <c r="E32" s="32" t="s">
        <v>207</v>
      </c>
      <c r="G32" s="32" t="s">
        <v>119</v>
      </c>
    </row>
    <row r="33" spans="3:7" x14ac:dyDescent="0.2">
      <c r="C33" s="32" t="s">
        <v>172</v>
      </c>
      <c r="E33" s="32" t="s">
        <v>10</v>
      </c>
      <c r="G33" s="32" t="s">
        <v>120</v>
      </c>
    </row>
    <row r="34" spans="3:7" x14ac:dyDescent="0.2">
      <c r="C34" s="32" t="s">
        <v>173</v>
      </c>
      <c r="E34" s="32" t="s">
        <v>208</v>
      </c>
      <c r="G34" s="32" t="s">
        <v>121</v>
      </c>
    </row>
    <row r="35" spans="3:7" x14ac:dyDescent="0.2">
      <c r="C35" s="32" t="s">
        <v>174</v>
      </c>
      <c r="G35" s="32" t="s">
        <v>122</v>
      </c>
    </row>
    <row r="36" spans="3:7" x14ac:dyDescent="0.2">
      <c r="C36" s="32" t="s">
        <v>175</v>
      </c>
      <c r="E36" s="32" t="s">
        <v>209</v>
      </c>
      <c r="G36" s="32" t="s">
        <v>123</v>
      </c>
    </row>
    <row r="37" spans="3:7" x14ac:dyDescent="0.2">
      <c r="C37" s="32" t="s">
        <v>176</v>
      </c>
      <c r="E37" s="32" t="s">
        <v>210</v>
      </c>
      <c r="G37" s="32" t="s">
        <v>124</v>
      </c>
    </row>
    <row r="38" spans="3:7" x14ac:dyDescent="0.2">
      <c r="C38" s="32" t="s">
        <v>177</v>
      </c>
      <c r="E38" s="32" t="s">
        <v>211</v>
      </c>
      <c r="G38" s="32" t="s">
        <v>125</v>
      </c>
    </row>
    <row r="39" spans="3:7" x14ac:dyDescent="0.2">
      <c r="C39" s="32" t="s">
        <v>178</v>
      </c>
      <c r="E39" s="32" t="s">
        <v>212</v>
      </c>
      <c r="G39" s="32" t="s">
        <v>126</v>
      </c>
    </row>
    <row r="40" spans="3:7" x14ac:dyDescent="0.2">
      <c r="E40" s="32" t="s">
        <v>213</v>
      </c>
      <c r="G40" s="32" t="s">
        <v>127</v>
      </c>
    </row>
    <row r="41" spans="3:7" x14ac:dyDescent="0.2">
      <c r="E41" s="32" t="s">
        <v>214</v>
      </c>
      <c r="G41" s="32" t="s">
        <v>128</v>
      </c>
    </row>
    <row r="42" spans="3:7" x14ac:dyDescent="0.2">
      <c r="E42" s="32" t="s">
        <v>215</v>
      </c>
      <c r="G42" s="32" t="s">
        <v>129</v>
      </c>
    </row>
    <row r="43" spans="3:7" x14ac:dyDescent="0.2">
      <c r="E43" s="32" t="s">
        <v>216</v>
      </c>
      <c r="G43" s="32" t="s">
        <v>130</v>
      </c>
    </row>
    <row r="44" spans="3:7" x14ac:dyDescent="0.2">
      <c r="E44" s="32" t="s">
        <v>217</v>
      </c>
      <c r="G44" s="32" t="s">
        <v>131</v>
      </c>
    </row>
  </sheetData>
  <phoneticPr fontId="1" type="noConversion"/>
  <pageMargins left="0.7" right="0.7" top="0.75" bottom="0.75" header="0.3" footer="0.3"/>
  <tableParts count="18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18</vt:i4>
      </vt:variant>
    </vt:vector>
  </HeadingPairs>
  <TitlesOfParts>
    <vt:vector size="20" baseType="lpstr">
      <vt:lpstr>Signal Example 1</vt:lpstr>
      <vt:lpstr>SelectionLists</vt:lpstr>
      <vt:lpstr>ActionTriggers_List</vt:lpstr>
      <vt:lpstr>AspectIndicators_List</vt:lpstr>
      <vt:lpstr>CardAddress_List</vt:lpstr>
      <vt:lpstr>CardBus_List</vt:lpstr>
      <vt:lpstr>Cards_List</vt:lpstr>
      <vt:lpstr>CardTypes_List</vt:lpstr>
      <vt:lpstr>ConditionSources_List</vt:lpstr>
      <vt:lpstr>ConditionTriggers_List</vt:lpstr>
      <vt:lpstr>Devices_List</vt:lpstr>
      <vt:lpstr>Fade_List</vt:lpstr>
      <vt:lpstr>GroupFunctions_List</vt:lpstr>
      <vt:lpstr>GroupProcessing_List</vt:lpstr>
      <vt:lpstr>LampSelection_List</vt:lpstr>
      <vt:lpstr>LogicOperations_List</vt:lpstr>
      <vt:lpstr>MastOperational_List</vt:lpstr>
      <vt:lpstr>Phase_List</vt:lpstr>
      <vt:lpstr>RulesName_List</vt:lpstr>
      <vt:lpstr>TrackSpeeds_List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 Fleming</dc:creator>
  <cp:lastModifiedBy>Pat Fleming</cp:lastModifiedBy>
  <dcterms:created xsi:type="dcterms:W3CDTF">2024-04-02T16:07:25Z</dcterms:created>
  <dcterms:modified xsi:type="dcterms:W3CDTF">2024-04-10T17:34:44Z</dcterms:modified>
</cp:coreProperties>
</file>